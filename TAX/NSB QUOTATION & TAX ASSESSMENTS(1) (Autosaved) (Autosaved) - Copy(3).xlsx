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SB\Downloads\"/>
    </mc:Choice>
  </mc:AlternateContent>
  <bookViews>
    <workbookView xWindow="-105" yWindow="-105" windowWidth="19425" windowHeight="11025"/>
  </bookViews>
  <sheets>
    <sheet name="Quotation " sheetId="1" r:id="rId1"/>
    <sheet name="with surcharge" sheetId="2" r:id="rId2"/>
    <sheet name="without Surcharge" sheetId="3" r:id="rId3"/>
    <sheet name="Trucks &amp; Cabins" sheetId="4" r:id="rId4"/>
    <sheet name="7 TONNE TRUCKS" sheetId="5" r:id="rId5"/>
    <sheet name="TRACTOR HEADS AND 20&gt;" sheetId="6" r:id="rId6"/>
  </sheets>
  <definedNames>
    <definedName name="_xlnm.Print_Area" localSheetId="0">'Quotation '!$A$1:$D$57</definedName>
    <definedName name="_xlnm.Print_Area" localSheetId="2">'without Surcharge'!$A$1:$G$17</definedName>
  </definedNames>
  <calcPr calcId="162913"/>
</workbook>
</file>

<file path=xl/calcChain.xml><?xml version="1.0" encoding="utf-8"?>
<calcChain xmlns="http://schemas.openxmlformats.org/spreadsheetml/2006/main">
  <c r="D23" i="1" l="1"/>
  <c r="B25" i="1" l="1"/>
  <c r="D24" i="1"/>
  <c r="D22" i="1" l="1"/>
  <c r="B3" i="3" l="1"/>
  <c r="B3" i="4" l="1"/>
  <c r="B3" i="5" s="1"/>
  <c r="B6" i="3"/>
  <c r="B9" i="3" s="1"/>
  <c r="B6" i="2"/>
  <c r="D21" i="1"/>
  <c r="D25" i="1" s="1"/>
  <c r="B8" i="2" l="1"/>
  <c r="B12" i="2"/>
  <c r="B16" i="3"/>
  <c r="B8" i="3"/>
  <c r="B11" i="2"/>
  <c r="B9" i="2"/>
  <c r="B10" i="2" s="1"/>
  <c r="B16" i="2"/>
  <c r="B6" i="5"/>
  <c r="B3" i="6"/>
  <c r="B6" i="6" s="1"/>
  <c r="B6" i="4"/>
  <c r="B11" i="4" s="1"/>
  <c r="B10" i="3"/>
  <c r="B11" i="3"/>
  <c r="B8" i="4" l="1"/>
  <c r="B9" i="4" s="1"/>
  <c r="B8" i="6"/>
  <c r="B11" i="6"/>
  <c r="B10" i="4"/>
  <c r="B17" i="3"/>
  <c r="B17" i="2"/>
  <c r="D29" i="1" s="1"/>
  <c r="B15" i="6"/>
  <c r="B10" i="6"/>
  <c r="B15" i="4"/>
  <c r="B15" i="5"/>
  <c r="B11" i="5"/>
  <c r="B8" i="5"/>
  <c r="B10" i="5"/>
  <c r="B9" i="6" l="1"/>
  <c r="B16" i="6" s="1"/>
  <c r="B16" i="4"/>
  <c r="D36" i="1" s="1"/>
  <c r="D38" i="1" s="1"/>
  <c r="B9" i="5"/>
  <c r="B16" i="5" s="1"/>
</calcChain>
</file>

<file path=xl/sharedStrings.xml><?xml version="1.0" encoding="utf-8"?>
<sst xmlns="http://schemas.openxmlformats.org/spreadsheetml/2006/main" count="138" uniqueCount="70">
  <si>
    <t>QUOTATION</t>
  </si>
  <si>
    <t>Customer Name                :</t>
  </si>
  <si>
    <t>Ms</t>
  </si>
  <si>
    <t>Customer Contacts           :</t>
  </si>
  <si>
    <t>+2567</t>
  </si>
  <si>
    <t>Customer Email                 :</t>
  </si>
  <si>
    <t>N/A</t>
  </si>
  <si>
    <t>Stock  No.                          :</t>
  </si>
  <si>
    <t>Make                                  :</t>
  </si>
  <si>
    <t>Chassis No.                        :</t>
  </si>
  <si>
    <t xml:space="preserve"> NKE165-8016821</t>
  </si>
  <si>
    <t>Color                                  :</t>
  </si>
  <si>
    <t>SILVER</t>
  </si>
  <si>
    <t>Engine Size / Fuel type     :</t>
  </si>
  <si>
    <t>C.C</t>
  </si>
  <si>
    <t>Petrol (Hybrid)</t>
  </si>
  <si>
    <t>Year                                   :</t>
  </si>
  <si>
    <t>FIRST INSTALLMENT</t>
  </si>
  <si>
    <t>COST IN USD</t>
  </si>
  <si>
    <t>USD RATE</t>
  </si>
  <si>
    <t xml:space="preserve"> Total (C&amp;F Kampala)</t>
  </si>
  <si>
    <t>SECOND INSTALLMENT</t>
  </si>
  <si>
    <t>Taxes Payable to URA</t>
  </si>
  <si>
    <t>3rd Party Insurance</t>
  </si>
  <si>
    <t xml:space="preserve">Number plates </t>
  </si>
  <si>
    <t>Agent fees</t>
  </si>
  <si>
    <t>REGISTRATION PROCESS</t>
  </si>
  <si>
    <t>GRAND TOTAL (UGX)</t>
  </si>
  <si>
    <t>Bank information</t>
  </si>
  <si>
    <t xml:space="preserve"> </t>
  </si>
  <si>
    <r>
      <rPr>
        <b/>
        <sz val="17"/>
        <color theme="1"/>
        <rFont val="Arial"/>
      </rPr>
      <t xml:space="preserve"> Payee</t>
    </r>
    <r>
      <rPr>
        <sz val="17"/>
        <color theme="1"/>
        <rFont val="Arial"/>
      </rPr>
      <t xml:space="preserve">: </t>
    </r>
    <r>
      <rPr>
        <b/>
        <i/>
        <sz val="17"/>
        <color theme="4"/>
        <rFont val="Arial"/>
      </rPr>
      <t>NSB BUSINESS SOLUTIONS (U) LTD</t>
    </r>
  </si>
  <si>
    <r>
      <rPr>
        <b/>
        <sz val="17"/>
        <color theme="1"/>
        <rFont val="Arial"/>
      </rPr>
      <t xml:space="preserve">Bank Name: </t>
    </r>
    <r>
      <rPr>
        <b/>
        <sz val="17"/>
        <color theme="4"/>
        <rFont val="Arial"/>
      </rPr>
      <t>EQUITY BANK.</t>
    </r>
  </si>
  <si>
    <r>
      <rPr>
        <b/>
        <sz val="17"/>
        <color theme="1"/>
        <rFont val="Arial"/>
      </rPr>
      <t xml:space="preserve"> Bank address: </t>
    </r>
    <r>
      <rPr>
        <b/>
        <sz val="17"/>
        <color rgb="FFFF0000"/>
        <rFont val="Arial"/>
      </rPr>
      <t>EQUITY BANK ,</t>
    </r>
    <r>
      <rPr>
        <b/>
        <i/>
        <sz val="17"/>
        <color rgb="FFFF0000"/>
        <rFont val="Arial"/>
      </rPr>
      <t>CHURCH HOUSE</t>
    </r>
  </si>
  <si>
    <r>
      <rPr>
        <b/>
        <sz val="17"/>
        <color theme="1"/>
        <rFont val="Arial"/>
      </rPr>
      <t xml:space="preserve">SWIFT CODE:  </t>
    </r>
    <r>
      <rPr>
        <b/>
        <sz val="17"/>
        <color rgb="FFFF0000"/>
        <rFont val="Arial"/>
      </rPr>
      <t>EQBLUGKA</t>
    </r>
  </si>
  <si>
    <r>
      <rPr>
        <b/>
        <sz val="17"/>
        <color theme="1"/>
        <rFont val="Arial"/>
      </rPr>
      <t xml:space="preserve"> Account No</t>
    </r>
    <r>
      <rPr>
        <sz val="17"/>
        <color theme="1"/>
        <rFont val="Arial"/>
      </rPr>
      <t>:</t>
    </r>
    <r>
      <rPr>
        <sz val="17"/>
        <color rgb="FF0000FF"/>
        <rFont val="Arial"/>
      </rPr>
      <t xml:space="preserve">          </t>
    </r>
    <r>
      <rPr>
        <b/>
        <i/>
        <sz val="17"/>
        <color rgb="FFFF0000"/>
        <rFont val="Arial"/>
      </rPr>
      <t xml:space="preserve">Ugx: </t>
    </r>
    <r>
      <rPr>
        <b/>
        <i/>
        <sz val="17"/>
        <color theme="4"/>
        <rFont val="Arial"/>
      </rPr>
      <t>1001202951908</t>
    </r>
  </si>
  <si>
    <r>
      <rPr>
        <b/>
        <i/>
        <sz val="17"/>
        <color rgb="FFFF0000"/>
        <rFont val="Arial"/>
      </rPr>
      <t xml:space="preserve">USD: </t>
    </r>
    <r>
      <rPr>
        <b/>
        <i/>
        <sz val="17"/>
        <color theme="4"/>
        <rFont val="Arial"/>
      </rPr>
      <t>1001203004471</t>
    </r>
  </si>
  <si>
    <t>MV CALCULATOR</t>
  </si>
  <si>
    <t>4 tonne  trucks 20% surcharge</t>
  </si>
  <si>
    <t>double cabins and single cabin 20% surcharge</t>
  </si>
  <si>
    <t>EXCHANGE RATE</t>
  </si>
  <si>
    <t>4 tonne trucks pays 10% Import duty</t>
  </si>
  <si>
    <t>YEAR</t>
  </si>
  <si>
    <t>Ordinary cars pay 25% import duty</t>
  </si>
  <si>
    <t>CIF USD</t>
  </si>
  <si>
    <t>3tonne&lt; Trucks pay 20% Import duty</t>
  </si>
  <si>
    <t>CUSTOMS VALUE</t>
  </si>
  <si>
    <t>Above 20,000 kgs Gross weight Pay No Iimport Duty</t>
  </si>
  <si>
    <t>All trucks pay 20% Surcharge</t>
  </si>
  <si>
    <t>IMPORT DUTY</t>
  </si>
  <si>
    <t>V.A.T</t>
  </si>
  <si>
    <t>W.H.T</t>
  </si>
  <si>
    <t>SURCHARGE (ENVIRONMENTAL)</t>
  </si>
  <si>
    <t>REG FEES</t>
  </si>
  <si>
    <t xml:space="preserve">STAMP DUTY </t>
  </si>
  <si>
    <t xml:space="preserve">REG FORM </t>
  </si>
  <si>
    <t>INFRASTRUCTURAL LEVY</t>
  </si>
  <si>
    <t>TOTAL TAXES</t>
  </si>
  <si>
    <t>ENVIRONMENTAL LEVY (SURCHARGE)</t>
  </si>
  <si>
    <t>MOTOR VEHICLE REG FEES</t>
  </si>
  <si>
    <t xml:space="preserve">STAMP DUTY ON VEHICLE IMPORTS </t>
  </si>
  <si>
    <t>MOTOR VEHICLE  FORM FEES</t>
  </si>
  <si>
    <t>INFRASTRUCTURE LEVY</t>
  </si>
  <si>
    <t xml:space="preserve">MV CALCULATOR- TRUCKS 7 &gt; 19.9  TONNES   </t>
  </si>
  <si>
    <t>IMPORT DECLARATION FEES</t>
  </si>
  <si>
    <r>
      <rPr>
        <b/>
        <sz val="16"/>
        <color theme="1"/>
        <rFont val="Calibri"/>
      </rPr>
      <t>DATE</t>
    </r>
    <r>
      <rPr>
        <sz val="16"/>
        <color theme="1"/>
        <rFont val="Calibri"/>
      </rPr>
      <t xml:space="preserve"> : 6th -Jul,2025</t>
    </r>
  </si>
  <si>
    <t>C&amp;F Mombasa</t>
  </si>
  <si>
    <t xml:space="preserve">C&amp;F Kampala </t>
  </si>
  <si>
    <t>COST IN Ugx</t>
  </si>
  <si>
    <t>Clearance Mombasa-Kampala</t>
  </si>
  <si>
    <t xml:space="preserve">TT Charges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</si>
</sst>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2" formatCode="_-&quot;USh&quot;* #,##0_-;\-&quot;USh&quot;* #,##0_-;_-&quot;USh&quot;* &quot;-&quot;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_);_(@_)"/>
    <numFmt numFmtId="166" formatCode="_-* #,##0.00_-;\-* #,##0.00_-;_-* &quot;-&quot;??_-;_-@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&quot;$&quot;#,##0_);[Red]\(&quot;$&quot;#,##0\)"/>
    <numFmt numFmtId="170" formatCode="_-[$$-409]* #,##0_ ;_-[$$-409]* \-#,##0\ ;_-[$$-409]* &quot;-&quot;??_ ;_-@_ "/>
  </numFmts>
  <fonts count="37">
    <font>
      <sz val="11"/>
      <color theme="1"/>
      <name val="Calibri"/>
      <scheme val="minor"/>
    </font>
    <font>
      <b/>
      <sz val="22"/>
      <color theme="1"/>
      <name val="Times New Roman"/>
    </font>
    <font>
      <sz val="11"/>
      <name val="Calibri"/>
    </font>
    <font>
      <sz val="15"/>
      <color theme="1"/>
      <name val="Calibri"/>
    </font>
    <font>
      <sz val="16"/>
      <color theme="1"/>
      <name val="Calibri"/>
    </font>
    <font>
      <sz val="17"/>
      <color theme="1"/>
      <name val="Calibri"/>
    </font>
    <font>
      <b/>
      <sz val="17"/>
      <color theme="1"/>
      <name val="Verdana"/>
    </font>
    <font>
      <b/>
      <i/>
      <sz val="17"/>
      <color theme="1"/>
      <name val="Calibri"/>
    </font>
    <font>
      <b/>
      <u/>
      <sz val="17"/>
      <color theme="1"/>
      <name val="Times New Roman"/>
    </font>
    <font>
      <u/>
      <sz val="17"/>
      <color theme="10"/>
      <name val="Calibri"/>
    </font>
    <font>
      <b/>
      <sz val="17"/>
      <color theme="1"/>
      <name val="Times New Roman"/>
    </font>
    <font>
      <b/>
      <sz val="17"/>
      <color rgb="FF333333"/>
      <name val="Times New Roman"/>
    </font>
    <font>
      <b/>
      <sz val="17"/>
      <color rgb="FF333333"/>
      <name val="Verdana"/>
    </font>
    <font>
      <b/>
      <sz val="17"/>
      <color rgb="FF000000"/>
      <name val="Courier New"/>
    </font>
    <font>
      <b/>
      <sz val="17"/>
      <color rgb="FF000000"/>
      <name val="Tahoma"/>
    </font>
    <font>
      <b/>
      <sz val="17"/>
      <color theme="1"/>
      <name val="Tahoma"/>
    </font>
    <font>
      <b/>
      <sz val="17"/>
      <color theme="1"/>
      <name val="Gill Sans"/>
    </font>
    <font>
      <sz val="17"/>
      <color theme="1"/>
      <name val="Gill Sans"/>
    </font>
    <font>
      <b/>
      <u/>
      <sz val="17"/>
      <color theme="1"/>
      <name val="Gill Sans"/>
    </font>
    <font>
      <b/>
      <u/>
      <sz val="17"/>
      <color theme="1"/>
      <name val="Gill Sans"/>
    </font>
    <font>
      <sz val="17"/>
      <color rgb="FFFF0000"/>
      <name val="Times New Roman"/>
    </font>
    <font>
      <sz val="14"/>
      <color theme="1"/>
      <name val="Calibri"/>
    </font>
    <font>
      <b/>
      <u/>
      <sz val="11"/>
      <color theme="1"/>
      <name val="Gill Sans"/>
    </font>
    <font>
      <b/>
      <u/>
      <sz val="14"/>
      <color theme="1"/>
      <name val="Calibri"/>
    </font>
    <font>
      <sz val="11"/>
      <color theme="1"/>
      <name val="Gill Sans"/>
    </font>
    <font>
      <b/>
      <sz val="17"/>
      <color theme="1"/>
      <name val="Arial"/>
    </font>
    <font>
      <sz val="17"/>
      <color theme="1"/>
      <name val="Times New Roman"/>
    </font>
    <font>
      <sz val="17"/>
      <color theme="1"/>
      <name val="Arial"/>
    </font>
    <font>
      <b/>
      <i/>
      <sz val="17"/>
      <color rgb="FFFF0000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6"/>
      <color theme="1"/>
      <name val="Calibri"/>
    </font>
    <font>
      <b/>
      <i/>
      <sz val="17"/>
      <color theme="4"/>
      <name val="Arial"/>
    </font>
    <font>
      <b/>
      <sz val="17"/>
      <color theme="4"/>
      <name val="Arial"/>
    </font>
    <font>
      <b/>
      <sz val="17"/>
      <color rgb="FFFF0000"/>
      <name val="Arial"/>
    </font>
    <font>
      <sz val="17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" fontId="3" fillId="0" borderId="0" xfId="0" applyNumberFormat="1" applyFont="1" applyAlignment="1">
      <alignment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6" fillId="0" borderId="0" xfId="0" applyFont="1"/>
    <xf numFmtId="3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center"/>
    </xf>
    <xf numFmtId="164" fontId="17" fillId="0" borderId="0" xfId="0" applyNumberFormat="1" applyFont="1"/>
    <xf numFmtId="165" fontId="17" fillId="0" borderId="0" xfId="0" applyNumberFormat="1" applyFont="1"/>
    <xf numFmtId="0" fontId="21" fillId="0" borderId="0" xfId="0" applyFont="1"/>
    <xf numFmtId="10" fontId="22" fillId="0" borderId="0" xfId="0" applyNumberFormat="1" applyFont="1"/>
    <xf numFmtId="0" fontId="23" fillId="0" borderId="0" xfId="0" applyFont="1"/>
    <xf numFmtId="4" fontId="17" fillId="0" borderId="0" xfId="0" applyNumberFormat="1" applyFont="1"/>
    <xf numFmtId="165" fontId="16" fillId="0" borderId="0" xfId="0" applyNumberFormat="1" applyFont="1"/>
    <xf numFmtId="0" fontId="24" fillId="0" borderId="0" xfId="0" applyFont="1"/>
    <xf numFmtId="165" fontId="16" fillId="2" borderId="2" xfId="0" applyNumberFormat="1" applyFont="1" applyFill="1" applyBorder="1"/>
    <xf numFmtId="166" fontId="5" fillId="0" borderId="0" xfId="0" applyNumberFormat="1" applyFont="1"/>
    <xf numFmtId="167" fontId="17" fillId="0" borderId="0" xfId="0" applyNumberFormat="1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168" fontId="17" fillId="0" borderId="0" xfId="0" applyNumberFormat="1" applyFont="1"/>
    <xf numFmtId="0" fontId="27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7" fillId="0" borderId="0" xfId="0" applyFont="1"/>
    <xf numFmtId="0" fontId="30" fillId="0" borderId="0" xfId="0" applyFont="1"/>
    <xf numFmtId="0" fontId="29" fillId="0" borderId="0" xfId="0" applyFont="1" applyAlignment="1">
      <alignment horizontal="center"/>
    </xf>
    <xf numFmtId="0" fontId="31" fillId="0" borderId="0" xfId="0" applyFont="1"/>
    <xf numFmtId="165" fontId="29" fillId="0" borderId="0" xfId="0" applyNumberFormat="1" applyFont="1"/>
    <xf numFmtId="0" fontId="31" fillId="0" borderId="3" xfId="0" applyFont="1" applyBorder="1"/>
    <xf numFmtId="165" fontId="29" fillId="0" borderId="3" xfId="0" applyNumberFormat="1" applyFont="1" applyBorder="1"/>
    <xf numFmtId="1" fontId="29" fillId="0" borderId="3" xfId="0" applyNumberFormat="1" applyFont="1" applyBorder="1"/>
    <xf numFmtId="4" fontId="29" fillId="0" borderId="3" xfId="0" applyNumberFormat="1" applyFont="1" applyBorder="1" applyAlignment="1"/>
    <xf numFmtId="14" fontId="31" fillId="0" borderId="0" xfId="0" applyNumberFormat="1" applyFont="1"/>
    <xf numFmtId="164" fontId="31" fillId="0" borderId="0" xfId="0" applyNumberFormat="1" applyFont="1"/>
    <xf numFmtId="165" fontId="31" fillId="2" borderId="4" xfId="0" applyNumberFormat="1" applyFont="1" applyFill="1" applyBorder="1"/>
    <xf numFmtId="1" fontId="29" fillId="0" borderId="3" xfId="0" applyNumberFormat="1" applyFont="1" applyBorder="1" applyAlignment="1"/>
    <xf numFmtId="169" fontId="29" fillId="0" borderId="0" xfId="0" applyNumberFormat="1" applyFont="1" applyAlignment="1">
      <alignment horizontal="center"/>
    </xf>
    <xf numFmtId="3" fontId="29" fillId="0" borderId="0" xfId="0" applyNumberFormat="1" applyFont="1" applyAlignment="1">
      <alignment horizontal="center"/>
    </xf>
    <xf numFmtId="164" fontId="29" fillId="0" borderId="3" xfId="0" applyNumberFormat="1" applyFont="1" applyBorder="1"/>
    <xf numFmtId="165" fontId="31" fillId="0" borderId="4" xfId="0" applyNumberFormat="1" applyFont="1" applyBorder="1"/>
    <xf numFmtId="164" fontId="29" fillId="0" borderId="0" xfId="0" applyNumberFormat="1" applyFont="1"/>
    <xf numFmtId="164" fontId="31" fillId="0" borderId="4" xfId="0" applyNumberFormat="1" applyFont="1" applyBorder="1"/>
    <xf numFmtId="0" fontId="0" fillId="0" borderId="0" xfId="0" applyFont="1" applyAlignment="1"/>
    <xf numFmtId="0" fontId="31" fillId="0" borderId="0" xfId="0" applyFont="1" applyAlignment="1">
      <alignment horizontal="center"/>
    </xf>
    <xf numFmtId="170" fontId="20" fillId="0" borderId="0" xfId="0" applyNumberFormat="1" applyFont="1"/>
    <xf numFmtId="170" fontId="16" fillId="0" borderId="0" xfId="0" applyNumberFormat="1" applyFont="1"/>
    <xf numFmtId="42" fontId="16" fillId="0" borderId="0" xfId="0" applyNumberFormat="1" applyFont="1"/>
    <xf numFmtId="0" fontId="0" fillId="0" borderId="0" xfId="0" applyFont="1" applyAlignment="1"/>
    <xf numFmtId="0" fontId="0" fillId="0" borderId="0" xfId="0" applyFont="1" applyAlignment="1"/>
    <xf numFmtId="43" fontId="29" fillId="0" borderId="3" xfId="0" applyNumberFormat="1" applyFont="1" applyBorder="1"/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12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165" fontId="29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409575</xdr:colOff>
      <xdr:row>0</xdr:row>
      <xdr:rowOff>552450</xdr:rowOff>
    </xdr:from>
    <xdr:ext cx="10763250" cy="1438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3065625"/>
          <a:ext cx="10692000" cy="14287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51</xdr:row>
      <xdr:rowOff>152400</xdr:rowOff>
    </xdr:from>
    <xdr:ext cx="10912929" cy="962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657614"/>
          <a:ext cx="10912929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0953750" cy="1590675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view="pageBreakPreview" zoomScale="70" zoomScaleNormal="50" zoomScaleSheetLayoutView="70" workbookViewId="0">
      <selection activeCell="K12" sqref="K12"/>
    </sheetView>
  </sheetViews>
  <sheetFormatPr defaultColWidth="14.42578125" defaultRowHeight="15" customHeight="1"/>
  <cols>
    <col min="1" max="1" width="67.7109375" customWidth="1"/>
    <col min="2" max="2" width="24" customWidth="1"/>
    <col min="3" max="3" width="40" customWidth="1"/>
    <col min="4" max="4" width="32.5703125" customWidth="1"/>
    <col min="5" max="5" width="23.5703125" customWidth="1"/>
    <col min="6" max="6" width="23.85546875" customWidth="1"/>
    <col min="7" max="7" width="13.7109375" customWidth="1"/>
    <col min="8" max="8" width="18.28515625" customWidth="1"/>
    <col min="9" max="9" width="17.28515625" customWidth="1"/>
    <col min="10" max="26" width="8.7109375" customWidth="1"/>
  </cols>
  <sheetData>
    <row r="1" spans="1:9" ht="125.25" customHeight="1"/>
    <row r="2" spans="1:9" ht="26.25" customHeight="1">
      <c r="A2" s="67" t="s">
        <v>0</v>
      </c>
      <c r="B2" s="68"/>
      <c r="C2" s="68"/>
      <c r="D2" s="68"/>
      <c r="F2" s="1"/>
      <c r="G2" s="2"/>
      <c r="H2" s="1"/>
      <c r="I2" s="1"/>
    </row>
    <row r="3" spans="1:9" ht="21.75" customHeight="1">
      <c r="C3" s="69" t="s">
        <v>64</v>
      </c>
      <c r="D3" s="64"/>
      <c r="F3" s="1"/>
      <c r="G3" s="2"/>
      <c r="H3" s="1"/>
      <c r="I3" s="1"/>
    </row>
    <row r="4" spans="1:9" ht="22.5">
      <c r="A4" s="3"/>
      <c r="B4" s="3"/>
      <c r="C4" s="4"/>
      <c r="D4" s="4"/>
      <c r="E4" s="3"/>
      <c r="F4" s="1"/>
      <c r="G4" s="2"/>
      <c r="H4" s="1"/>
      <c r="I4" s="1"/>
    </row>
    <row r="5" spans="1:9" ht="21" customHeight="1">
      <c r="A5" s="5" t="s">
        <v>1</v>
      </c>
      <c r="B5" s="70" t="s">
        <v>2</v>
      </c>
      <c r="C5" s="64"/>
      <c r="D5" s="64"/>
      <c r="E5" s="3"/>
      <c r="F5" s="1"/>
      <c r="G5" s="6"/>
      <c r="H5" s="1"/>
      <c r="I5" s="1"/>
    </row>
    <row r="6" spans="1:9" ht="21" customHeight="1">
      <c r="A6" s="5" t="s">
        <v>3</v>
      </c>
      <c r="B6" s="71" t="s">
        <v>4</v>
      </c>
      <c r="C6" s="64"/>
      <c r="D6" s="64"/>
      <c r="E6" s="3"/>
      <c r="F6" s="1"/>
      <c r="G6" s="2"/>
      <c r="H6" s="1"/>
      <c r="I6" s="1"/>
    </row>
    <row r="7" spans="1:9" ht="22.5">
      <c r="A7" s="5" t="s">
        <v>5</v>
      </c>
      <c r="B7" s="72" t="s">
        <v>6</v>
      </c>
      <c r="C7" s="64"/>
      <c r="D7" s="64"/>
      <c r="E7" s="3"/>
      <c r="F7" s="1"/>
      <c r="G7" s="1"/>
      <c r="H7" s="1"/>
      <c r="I7" s="1"/>
    </row>
    <row r="8" spans="1:9" ht="22.5">
      <c r="A8" s="7"/>
      <c r="B8" s="8"/>
      <c r="C8" s="8"/>
      <c r="D8" s="8"/>
      <c r="E8" s="3"/>
    </row>
    <row r="9" spans="1:9" ht="22.5">
      <c r="A9" s="5" t="s">
        <v>7</v>
      </c>
      <c r="B9" s="73"/>
      <c r="C9" s="64"/>
      <c r="D9" s="64"/>
      <c r="E9" s="3"/>
    </row>
    <row r="10" spans="1:9" ht="22.5">
      <c r="A10" s="9" t="s">
        <v>8</v>
      </c>
      <c r="B10" s="74"/>
      <c r="C10" s="64"/>
      <c r="D10" s="64"/>
      <c r="E10" s="3"/>
    </row>
    <row r="11" spans="1:9" ht="23.25">
      <c r="A11" s="9" t="s">
        <v>9</v>
      </c>
      <c r="B11" s="63" t="s">
        <v>10</v>
      </c>
      <c r="C11" s="64"/>
      <c r="D11" s="64"/>
      <c r="E11" s="3"/>
    </row>
    <row r="12" spans="1:9" ht="23.25">
      <c r="A12" s="9" t="s">
        <v>11</v>
      </c>
      <c r="B12" s="63" t="s">
        <v>12</v>
      </c>
      <c r="C12" s="64"/>
      <c r="D12" s="64"/>
      <c r="E12" s="3"/>
    </row>
    <row r="13" spans="1:9" ht="22.5">
      <c r="A13" s="9" t="s">
        <v>13</v>
      </c>
      <c r="B13" s="10">
        <v>1490</v>
      </c>
      <c r="C13" s="11" t="s">
        <v>14</v>
      </c>
      <c r="D13" s="12" t="s">
        <v>15</v>
      </c>
      <c r="E13" s="3"/>
    </row>
    <row r="14" spans="1:9" ht="22.5">
      <c r="A14" s="9" t="s">
        <v>16</v>
      </c>
      <c r="B14" s="65">
        <v>2015</v>
      </c>
      <c r="C14" s="64"/>
      <c r="D14" s="64"/>
      <c r="E14" s="3"/>
    </row>
    <row r="15" spans="1:9" ht="22.5">
      <c r="A15" s="13"/>
      <c r="B15" s="14"/>
      <c r="C15" s="15"/>
      <c r="D15" s="15"/>
      <c r="E15" s="3"/>
    </row>
    <row r="16" spans="1:9" ht="22.5">
      <c r="A16" s="15"/>
      <c r="B16" s="16"/>
      <c r="C16" s="16"/>
      <c r="D16" s="15"/>
      <c r="E16" s="3"/>
    </row>
    <row r="17" spans="1:9" ht="22.5">
      <c r="A17" s="15"/>
      <c r="B17" s="15"/>
      <c r="C17" s="15"/>
      <c r="D17" s="15"/>
      <c r="E17" s="3"/>
    </row>
    <row r="18" spans="1:9" ht="22.5">
      <c r="A18" s="17" t="s">
        <v>17</v>
      </c>
      <c r="B18" s="15"/>
      <c r="C18" s="15"/>
      <c r="D18" s="15"/>
      <c r="E18" s="3"/>
    </row>
    <row r="19" spans="1:9" ht="22.5">
      <c r="A19" s="15"/>
      <c r="B19" s="15"/>
      <c r="C19" s="15"/>
      <c r="D19" s="15"/>
      <c r="E19" s="3"/>
    </row>
    <row r="20" spans="1:9" ht="22.5">
      <c r="A20" s="15"/>
      <c r="B20" s="18" t="s">
        <v>18</v>
      </c>
      <c r="C20" s="18" t="s">
        <v>19</v>
      </c>
      <c r="D20" s="18" t="s">
        <v>67</v>
      </c>
      <c r="E20" s="3"/>
    </row>
    <row r="21" spans="1:9" ht="22.5">
      <c r="A21" s="13" t="s">
        <v>65</v>
      </c>
      <c r="B21" s="57"/>
      <c r="C21" s="19">
        <v>3570</v>
      </c>
      <c r="D21" s="19">
        <f>B21*C21</f>
        <v>0</v>
      </c>
      <c r="E21" s="3"/>
      <c r="F21" s="3"/>
    </row>
    <row r="22" spans="1:9" s="60" customFormat="1" ht="22.5">
      <c r="A22" s="13" t="s">
        <v>68</v>
      </c>
      <c r="B22" s="57"/>
      <c r="C22" s="19">
        <v>3570</v>
      </c>
      <c r="D22" s="19">
        <f>B22*C22</f>
        <v>0</v>
      </c>
      <c r="E22" s="3"/>
      <c r="F22" s="3"/>
    </row>
    <row r="23" spans="1:9" ht="22.5">
      <c r="A23" s="13" t="s">
        <v>66</v>
      </c>
      <c r="B23" s="57"/>
      <c r="C23" s="19"/>
      <c r="D23" s="19">
        <f>B23*C23</f>
        <v>0</v>
      </c>
      <c r="E23" s="3"/>
    </row>
    <row r="24" spans="1:9" s="61" customFormat="1" ht="22.5">
      <c r="A24" s="13" t="s">
        <v>69</v>
      </c>
      <c r="B24" s="57">
        <v>40</v>
      </c>
      <c r="C24" s="19">
        <v>3570</v>
      </c>
      <c r="D24" s="19">
        <f>B24*C24</f>
        <v>142800</v>
      </c>
      <c r="E24" s="3"/>
    </row>
    <row r="25" spans="1:9" ht="22.5">
      <c r="A25" s="13"/>
      <c r="B25" s="58">
        <f>B21+B23+B24</f>
        <v>40</v>
      </c>
      <c r="C25" s="18" t="s">
        <v>20</v>
      </c>
      <c r="D25" s="59">
        <f>D21+D23+D22+D24</f>
        <v>142800</v>
      </c>
      <c r="E25" s="3"/>
    </row>
    <row r="26" spans="1:9" ht="22.5">
      <c r="A26" s="15"/>
      <c r="B26" s="15"/>
      <c r="C26" s="15"/>
      <c r="D26" s="20"/>
      <c r="E26" s="3"/>
    </row>
    <row r="27" spans="1:9" ht="22.5">
      <c r="A27" s="17" t="s">
        <v>21</v>
      </c>
      <c r="B27" s="15"/>
      <c r="C27" s="15"/>
      <c r="D27" s="20"/>
      <c r="E27" s="3"/>
      <c r="H27" s="21"/>
      <c r="I27" s="21"/>
    </row>
    <row r="28" spans="1:9" ht="22.5">
      <c r="A28" s="15"/>
      <c r="B28" s="15"/>
      <c r="C28" s="15"/>
      <c r="D28" s="20"/>
      <c r="E28" s="3"/>
      <c r="H28" s="21"/>
      <c r="I28" s="21"/>
    </row>
    <row r="29" spans="1:9" ht="22.5">
      <c r="A29" s="13" t="s">
        <v>22</v>
      </c>
      <c r="B29" s="15"/>
      <c r="C29" s="15"/>
      <c r="D29" s="20">
        <f>'with surcharge'!B17</f>
        <v>1553000</v>
      </c>
      <c r="E29" s="3"/>
      <c r="G29" s="22"/>
      <c r="H29" s="23"/>
      <c r="I29" s="21"/>
    </row>
    <row r="30" spans="1:9" ht="22.5">
      <c r="A30" s="13" t="s">
        <v>24</v>
      </c>
      <c r="B30" s="24"/>
      <c r="C30" s="15"/>
      <c r="D30" s="19">
        <v>714300</v>
      </c>
      <c r="E30" s="3"/>
      <c r="H30" s="21"/>
      <c r="I30" s="21"/>
    </row>
    <row r="31" spans="1:9" ht="22.5">
      <c r="A31" s="13" t="s">
        <v>23</v>
      </c>
      <c r="B31" s="24"/>
      <c r="C31" s="15"/>
      <c r="D31" s="19"/>
      <c r="E31" s="3"/>
      <c r="H31" s="21"/>
      <c r="I31" s="21"/>
    </row>
    <row r="32" spans="1:9" ht="22.5">
      <c r="A32" s="13" t="s">
        <v>25</v>
      </c>
      <c r="B32" s="15"/>
      <c r="C32" s="15"/>
      <c r="D32" s="19">
        <v>400000</v>
      </c>
      <c r="E32" s="3"/>
    </row>
    <row r="33" spans="1:26" ht="22.5">
      <c r="A33" s="13"/>
      <c r="B33" s="15"/>
      <c r="C33" s="15"/>
      <c r="D33" s="19"/>
      <c r="E33" s="3"/>
    </row>
    <row r="34" spans="1:26" ht="22.5">
      <c r="A34" s="13"/>
      <c r="B34" s="15"/>
      <c r="C34" s="15"/>
      <c r="D34" s="19"/>
      <c r="E34" s="3"/>
      <c r="H34" s="21"/>
      <c r="I34" s="21"/>
    </row>
    <row r="35" spans="1:26" ht="22.5">
      <c r="A35" s="13"/>
      <c r="B35" s="15"/>
      <c r="C35" s="15"/>
      <c r="D35" s="19"/>
      <c r="E35" s="3"/>
      <c r="H35" s="21"/>
      <c r="I35" s="21"/>
    </row>
    <row r="36" spans="1:26" ht="22.5">
      <c r="A36" s="13" t="s">
        <v>26</v>
      </c>
      <c r="B36" s="15"/>
      <c r="C36" s="15"/>
      <c r="D36" s="25">
        <f>SUM(D29:D35)</f>
        <v>2667300</v>
      </c>
      <c r="E36" s="3"/>
      <c r="H36" s="21"/>
      <c r="I36" s="21"/>
    </row>
    <row r="37" spans="1:26" ht="15.75" customHeight="1">
      <c r="A37" s="15"/>
      <c r="B37" s="15"/>
      <c r="C37" s="15"/>
      <c r="D37" s="19"/>
      <c r="E37" s="15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2.5">
      <c r="A38" s="13" t="s">
        <v>27</v>
      </c>
      <c r="B38" s="15"/>
      <c r="C38" s="15"/>
      <c r="D38" s="27">
        <f>D25+D36</f>
        <v>2810100</v>
      </c>
      <c r="E38" s="3"/>
      <c r="F38" s="28"/>
    </row>
    <row r="39" spans="1:26" ht="0.75" customHeight="1">
      <c r="A39" s="13" t="s">
        <v>27</v>
      </c>
      <c r="B39" s="15"/>
      <c r="C39" s="15"/>
      <c r="D39" s="15"/>
      <c r="E39" s="3"/>
    </row>
    <row r="40" spans="1:26" ht="15.75" customHeight="1">
      <c r="A40" s="13"/>
      <c r="B40" s="15"/>
      <c r="C40" s="29"/>
      <c r="D40" s="15"/>
      <c r="E40" s="3"/>
    </row>
    <row r="41" spans="1:26" ht="15.75" customHeight="1">
      <c r="A41" s="30" t="s">
        <v>28</v>
      </c>
      <c r="B41" s="15"/>
      <c r="C41" s="15"/>
      <c r="D41" s="3"/>
      <c r="E41" s="3"/>
    </row>
    <row r="42" spans="1:26" ht="15.75" customHeight="1">
      <c r="A42" s="31"/>
      <c r="B42" s="15" t="s">
        <v>29</v>
      </c>
      <c r="C42" s="15"/>
      <c r="D42" s="32"/>
      <c r="E42" s="3"/>
    </row>
    <row r="43" spans="1:26" ht="22.5">
      <c r="A43" s="33" t="s">
        <v>30</v>
      </c>
      <c r="B43" s="15"/>
      <c r="C43" s="15"/>
      <c r="D43" s="15"/>
      <c r="E43" s="3"/>
    </row>
    <row r="44" spans="1:26" ht="15.75" customHeight="1">
      <c r="A44" s="31"/>
      <c r="B44" s="15"/>
      <c r="C44" s="15"/>
      <c r="D44" s="20"/>
      <c r="E44" s="3"/>
    </row>
    <row r="45" spans="1:26" ht="22.5">
      <c r="A45" s="34" t="s">
        <v>31</v>
      </c>
      <c r="B45" s="15"/>
      <c r="C45" s="15"/>
      <c r="D45" s="15"/>
      <c r="E45" s="3"/>
    </row>
    <row r="46" spans="1:26" ht="15.75" customHeight="1">
      <c r="A46" s="31"/>
      <c r="B46" s="15"/>
      <c r="C46" s="15"/>
      <c r="D46" s="20"/>
      <c r="E46" s="3"/>
    </row>
    <row r="47" spans="1:26" ht="22.5">
      <c r="A47" s="35" t="s">
        <v>32</v>
      </c>
      <c r="B47" s="15"/>
      <c r="C47" s="15"/>
      <c r="D47" s="15"/>
      <c r="E47" s="3"/>
    </row>
    <row r="48" spans="1:26" ht="22.5">
      <c r="A48" s="34" t="s">
        <v>33</v>
      </c>
      <c r="B48" s="3"/>
      <c r="C48" s="3"/>
      <c r="D48" s="3"/>
      <c r="E48" s="3"/>
    </row>
    <row r="49" spans="1:5" ht="15.75" customHeight="1">
      <c r="A49" s="33"/>
      <c r="B49" s="3"/>
      <c r="C49" s="3"/>
      <c r="D49" s="3"/>
      <c r="E49" s="3"/>
    </row>
    <row r="50" spans="1:5" ht="22.5">
      <c r="A50" s="33" t="s">
        <v>34</v>
      </c>
      <c r="B50" s="36"/>
      <c r="C50" s="3"/>
      <c r="D50" s="3"/>
      <c r="E50" s="3"/>
    </row>
    <row r="51" spans="1:5" ht="22.5">
      <c r="A51" s="66" t="s">
        <v>35</v>
      </c>
      <c r="B51" s="64"/>
      <c r="C51" s="3"/>
      <c r="D51" s="3"/>
      <c r="E51" s="3"/>
    </row>
    <row r="52" spans="1:5" ht="15.75" customHeight="1"/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B11:D11"/>
    <mergeCell ref="B12:D12"/>
    <mergeCell ref="B14:D14"/>
    <mergeCell ref="A51:B51"/>
    <mergeCell ref="A2:D2"/>
    <mergeCell ref="C3:D3"/>
    <mergeCell ref="B5:D5"/>
    <mergeCell ref="B6:D6"/>
    <mergeCell ref="B7:D7"/>
    <mergeCell ref="B9:D9"/>
    <mergeCell ref="B10:D10"/>
  </mergeCells>
  <pageMargins left="0.7" right="0.7" top="0.75" bottom="0.75" header="0" footer="0"/>
  <pageSetup scale="55" orientation="portrait" r:id="rId1"/>
  <colBreaks count="1" manualBreakCount="1">
    <brk id="4" max="5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zoomScale="90" zoomScaleNormal="90" workbookViewId="0">
      <selection activeCell="B5" sqref="B5"/>
    </sheetView>
  </sheetViews>
  <sheetFormatPr defaultColWidth="14.42578125" defaultRowHeight="15" customHeight="1"/>
  <cols>
    <col min="1" max="1" width="28.7109375" customWidth="1"/>
    <col min="2" max="2" width="20.5703125" customWidth="1"/>
    <col min="3" max="5" width="8.7109375" customWidth="1"/>
    <col min="6" max="6" width="16.28515625" customWidth="1"/>
    <col min="7" max="7" width="22.7109375" customWidth="1"/>
    <col min="8" max="8" width="13.5703125" customWidth="1"/>
    <col min="9" max="9" width="4.5703125" customWidth="1"/>
    <col min="10" max="10" width="17" customWidth="1"/>
    <col min="11" max="11" width="17.42578125" customWidth="1"/>
    <col min="12" max="26" width="8.7109375" customWidth="1"/>
  </cols>
  <sheetData>
    <row r="1" spans="1:11">
      <c r="A1" s="75" t="s">
        <v>36</v>
      </c>
      <c r="B1" s="64"/>
      <c r="D1" s="37" t="s">
        <v>37</v>
      </c>
      <c r="H1" s="38"/>
      <c r="K1" s="38"/>
    </row>
    <row r="2" spans="1:11">
      <c r="A2" s="39" t="s">
        <v>36</v>
      </c>
      <c r="B2" s="40"/>
      <c r="D2" s="37" t="s">
        <v>38</v>
      </c>
      <c r="H2" s="38"/>
      <c r="K2" s="38"/>
    </row>
    <row r="3" spans="1:11" ht="18.75" customHeight="1">
      <c r="A3" s="41" t="s">
        <v>39</v>
      </c>
      <c r="B3" s="42">
        <v>3586.8768</v>
      </c>
      <c r="D3" s="37" t="s">
        <v>40</v>
      </c>
      <c r="H3" s="38"/>
      <c r="K3" s="38"/>
    </row>
    <row r="4" spans="1:11" ht="22.5" customHeight="1">
      <c r="A4" s="41" t="s">
        <v>41</v>
      </c>
      <c r="B4" s="43">
        <v>2010</v>
      </c>
      <c r="D4" s="37" t="s">
        <v>42</v>
      </c>
    </row>
    <row r="5" spans="1:11" ht="24" customHeight="1">
      <c r="A5" s="41" t="s">
        <v>43</v>
      </c>
      <c r="B5" s="44"/>
      <c r="D5" s="37" t="s">
        <v>44</v>
      </c>
      <c r="G5" s="39"/>
    </row>
    <row r="6" spans="1:11" ht="19.5" customHeight="1">
      <c r="A6" s="41" t="s">
        <v>45</v>
      </c>
      <c r="B6" s="42">
        <f>+B5*B3</f>
        <v>0</v>
      </c>
      <c r="D6" s="37" t="s">
        <v>46</v>
      </c>
      <c r="G6" s="39"/>
    </row>
    <row r="7" spans="1:11" s="55" customFormat="1" ht="19.5" customHeight="1">
      <c r="A7" s="41"/>
      <c r="B7" s="42"/>
      <c r="D7" s="37"/>
      <c r="G7" s="39"/>
    </row>
    <row r="8" spans="1:11" ht="16.5" customHeight="1">
      <c r="A8" s="41" t="s">
        <v>63</v>
      </c>
      <c r="B8" s="42">
        <f>B6*1%</f>
        <v>0</v>
      </c>
      <c r="D8" s="37" t="s">
        <v>47</v>
      </c>
    </row>
    <row r="9" spans="1:11" ht="21" customHeight="1">
      <c r="A9" s="41" t="s">
        <v>48</v>
      </c>
      <c r="B9" s="42">
        <f>25%*B6</f>
        <v>0</v>
      </c>
      <c r="G9" s="45"/>
    </row>
    <row r="10" spans="1:11" ht="22.5" customHeight="1">
      <c r="A10" s="41" t="s">
        <v>49</v>
      </c>
      <c r="B10" s="42">
        <f>(B9+B6)*18%</f>
        <v>0</v>
      </c>
      <c r="G10" s="39"/>
    </row>
    <row r="11" spans="1:11" ht="25.5" customHeight="1">
      <c r="A11" s="41" t="s">
        <v>50</v>
      </c>
      <c r="B11" s="42">
        <f>6%*B6</f>
        <v>0</v>
      </c>
      <c r="F11" s="39"/>
      <c r="G11" s="39"/>
    </row>
    <row r="12" spans="1:11" ht="24" customHeight="1">
      <c r="A12" s="41" t="s">
        <v>51</v>
      </c>
      <c r="B12" s="42">
        <f>50%*B6</f>
        <v>0</v>
      </c>
      <c r="F12" s="39"/>
      <c r="G12" s="46"/>
    </row>
    <row r="13" spans="1:11" ht="24" customHeight="1">
      <c r="A13" s="41" t="s">
        <v>52</v>
      </c>
      <c r="B13" s="42">
        <v>1500000</v>
      </c>
      <c r="F13" s="39"/>
      <c r="G13" s="46"/>
    </row>
    <row r="14" spans="1:11" ht="24" customHeight="1">
      <c r="A14" s="41" t="s">
        <v>53</v>
      </c>
      <c r="B14" s="42">
        <v>18000</v>
      </c>
      <c r="F14" s="39"/>
      <c r="G14" s="46"/>
    </row>
    <row r="15" spans="1:11" ht="24" customHeight="1">
      <c r="A15" s="41" t="s">
        <v>54</v>
      </c>
      <c r="B15" s="42">
        <v>35000</v>
      </c>
      <c r="F15" s="39"/>
      <c r="G15" s="46"/>
    </row>
    <row r="16" spans="1:11" ht="17.25" customHeight="1">
      <c r="A16" s="41" t="s">
        <v>55</v>
      </c>
      <c r="B16" s="42">
        <f>1.5%*B6</f>
        <v>0</v>
      </c>
      <c r="F16" s="39"/>
      <c r="G16" s="46"/>
    </row>
    <row r="17" spans="1:11">
      <c r="A17" s="41" t="s">
        <v>56</v>
      </c>
      <c r="B17" s="47">
        <f>SUM(B8:B16)</f>
        <v>1553000</v>
      </c>
      <c r="F17" s="39"/>
      <c r="G17" s="46"/>
    </row>
    <row r="18" spans="1:11">
      <c r="A18" s="39"/>
      <c r="B18" s="40"/>
      <c r="F18" s="39"/>
      <c r="G18" s="46"/>
    </row>
    <row r="19" spans="1:11">
      <c r="A19" s="39"/>
      <c r="B19" s="40"/>
      <c r="F19" s="39"/>
      <c r="G19" s="46"/>
    </row>
    <row r="20" spans="1:11">
      <c r="A20" s="39"/>
      <c r="B20" s="40"/>
      <c r="C20" s="39"/>
      <c r="G20" s="46"/>
    </row>
    <row r="21" spans="1:11">
      <c r="A21" s="39"/>
      <c r="B21" s="40"/>
      <c r="G21" s="46"/>
    </row>
    <row r="22" spans="1:11" ht="15.75" customHeight="1">
      <c r="A22" s="39"/>
      <c r="B22" s="40"/>
    </row>
    <row r="23" spans="1:11" ht="15.75" customHeight="1">
      <c r="A23" s="39"/>
      <c r="B23" s="40"/>
      <c r="G23" s="46"/>
    </row>
    <row r="24" spans="1:11" ht="15.75" customHeight="1">
      <c r="A24" s="39"/>
      <c r="B24" s="40"/>
      <c r="G24" s="46"/>
    </row>
    <row r="25" spans="1:11" ht="15.75" customHeight="1">
      <c r="A25" s="39"/>
      <c r="B25" s="40"/>
      <c r="H25" s="38"/>
      <c r="K25" s="38"/>
    </row>
    <row r="26" spans="1:11" ht="15.75" customHeight="1">
      <c r="A26" s="39"/>
      <c r="B26" s="40"/>
      <c r="H26" s="38"/>
      <c r="K26" s="38"/>
    </row>
    <row r="27" spans="1:11" ht="15.75" customHeight="1">
      <c r="A27" s="39"/>
      <c r="B27" s="40"/>
      <c r="H27" s="38"/>
      <c r="K27" s="38"/>
    </row>
    <row r="28" spans="1:11" ht="15.75" customHeight="1">
      <c r="A28" s="39"/>
      <c r="B28" s="40"/>
      <c r="H28" s="38"/>
      <c r="K28" s="38"/>
    </row>
    <row r="29" spans="1:11" ht="15.75" customHeight="1">
      <c r="A29" s="39"/>
      <c r="B29" s="40"/>
      <c r="H29" s="38"/>
      <c r="K29" s="38"/>
    </row>
    <row r="30" spans="1:11" ht="15.75" customHeight="1">
      <c r="A30" s="39"/>
      <c r="B30" s="40"/>
      <c r="H30" s="38"/>
      <c r="K30" s="38"/>
    </row>
    <row r="31" spans="1:11" ht="15.75" customHeight="1">
      <c r="A31" s="39"/>
      <c r="B31" s="40"/>
      <c r="H31" s="38"/>
      <c r="K31" s="38"/>
    </row>
    <row r="32" spans="1:11" ht="15.75" customHeight="1">
      <c r="A32" s="39"/>
      <c r="B32" s="40"/>
      <c r="H32" s="38"/>
      <c r="K32" s="38"/>
    </row>
    <row r="33" spans="1:11" ht="15.75" customHeight="1">
      <c r="A33" s="39"/>
      <c r="B33" s="40"/>
      <c r="H33" s="38"/>
      <c r="K33" s="38"/>
    </row>
    <row r="34" spans="1:11" ht="15.75" customHeight="1">
      <c r="A34" s="39"/>
      <c r="B34" s="40"/>
      <c r="H34" s="38"/>
      <c r="K34" s="38"/>
    </row>
    <row r="35" spans="1:11" ht="15.75" customHeight="1">
      <c r="A35" s="39"/>
      <c r="B35" s="40"/>
      <c r="H35" s="38"/>
      <c r="K35" s="38"/>
    </row>
    <row r="36" spans="1:11" ht="15.75" customHeight="1">
      <c r="A36" s="39"/>
      <c r="B36" s="40"/>
      <c r="H36" s="38"/>
      <c r="K36" s="38"/>
    </row>
    <row r="37" spans="1:11" ht="15.75" customHeight="1">
      <c r="A37" s="39"/>
      <c r="B37" s="40"/>
      <c r="H37" s="38"/>
      <c r="K37" s="38"/>
    </row>
    <row r="38" spans="1:11" ht="15.75" customHeight="1">
      <c r="A38" s="39"/>
      <c r="B38" s="40"/>
      <c r="H38" s="38"/>
      <c r="K38" s="38"/>
    </row>
    <row r="39" spans="1:11" ht="15.75" customHeight="1">
      <c r="A39" s="39"/>
      <c r="B39" s="40"/>
      <c r="H39" s="38"/>
      <c r="K39" s="38"/>
    </row>
    <row r="40" spans="1:11" ht="15.75" customHeight="1">
      <c r="A40" s="39"/>
      <c r="B40" s="40"/>
      <c r="H40" s="38"/>
      <c r="K40" s="38"/>
    </row>
    <row r="41" spans="1:11" ht="15.75" customHeight="1">
      <c r="A41" s="39"/>
      <c r="B41" s="40"/>
      <c r="H41" s="38"/>
      <c r="K41" s="38"/>
    </row>
    <row r="42" spans="1:11" ht="15.75" customHeight="1">
      <c r="A42" s="39"/>
      <c r="B42" s="40"/>
      <c r="H42" s="38"/>
      <c r="K42" s="38"/>
    </row>
    <row r="43" spans="1:11" ht="15.75" customHeight="1">
      <c r="A43" s="39"/>
      <c r="B43" s="40"/>
      <c r="H43" s="38"/>
      <c r="K43" s="38"/>
    </row>
    <row r="44" spans="1:11" ht="15.75" customHeight="1">
      <c r="A44" s="39"/>
      <c r="B44" s="40"/>
      <c r="H44" s="38"/>
      <c r="K44" s="38"/>
    </row>
    <row r="45" spans="1:11" ht="15.75" customHeight="1">
      <c r="A45" s="39"/>
      <c r="B45" s="40"/>
      <c r="H45" s="38"/>
      <c r="K45" s="38"/>
    </row>
    <row r="46" spans="1:11" ht="15.75" customHeight="1">
      <c r="A46" s="39"/>
      <c r="B46" s="40"/>
      <c r="H46" s="38"/>
      <c r="K46" s="38"/>
    </row>
    <row r="47" spans="1:11" ht="15.75" customHeight="1">
      <c r="A47" s="39"/>
      <c r="B47" s="40"/>
      <c r="H47" s="38"/>
      <c r="K47" s="38"/>
    </row>
    <row r="48" spans="1:11" ht="15.75" customHeight="1">
      <c r="A48" s="39"/>
      <c r="B48" s="40"/>
      <c r="H48" s="38"/>
      <c r="K48" s="38"/>
    </row>
    <row r="49" spans="1:11" ht="15.75" customHeight="1">
      <c r="A49" s="39"/>
      <c r="B49" s="40"/>
      <c r="H49" s="38"/>
      <c r="K49" s="38"/>
    </row>
    <row r="50" spans="1:11" ht="15.75" customHeight="1">
      <c r="A50" s="39"/>
      <c r="B50" s="40"/>
      <c r="H50" s="38"/>
      <c r="K50" s="38"/>
    </row>
    <row r="51" spans="1:11" ht="15.75" customHeight="1">
      <c r="A51" s="39"/>
      <c r="B51" s="40"/>
      <c r="H51" s="38"/>
      <c r="K51" s="38"/>
    </row>
    <row r="52" spans="1:11" ht="15.75" customHeight="1">
      <c r="A52" s="39"/>
      <c r="B52" s="40"/>
      <c r="H52" s="38"/>
      <c r="K52" s="38"/>
    </row>
    <row r="53" spans="1:11" ht="15.75" customHeight="1">
      <c r="A53" s="39"/>
      <c r="B53" s="40"/>
      <c r="H53" s="38"/>
      <c r="K53" s="38"/>
    </row>
    <row r="54" spans="1:11" ht="15.75" customHeight="1">
      <c r="A54" s="39"/>
      <c r="B54" s="40"/>
      <c r="H54" s="38"/>
      <c r="K54" s="38"/>
    </row>
    <row r="55" spans="1:11" ht="15.75" customHeight="1">
      <c r="A55" s="39"/>
      <c r="B55" s="40"/>
      <c r="H55" s="38"/>
      <c r="K55" s="38"/>
    </row>
    <row r="56" spans="1:11" ht="15.75" customHeight="1">
      <c r="A56" s="39"/>
      <c r="B56" s="40"/>
      <c r="H56" s="38"/>
      <c r="K56" s="38"/>
    </row>
    <row r="57" spans="1:11" ht="15.75" customHeight="1">
      <c r="A57" s="39"/>
      <c r="B57" s="40"/>
      <c r="H57" s="38"/>
      <c r="K57" s="38"/>
    </row>
    <row r="58" spans="1:11" ht="15.75" customHeight="1">
      <c r="A58" s="39"/>
      <c r="B58" s="40"/>
      <c r="H58" s="38"/>
      <c r="K58" s="38"/>
    </row>
    <row r="59" spans="1:11" ht="15.75" customHeight="1">
      <c r="A59" s="39"/>
      <c r="B59" s="40"/>
      <c r="H59" s="38"/>
      <c r="K59" s="38"/>
    </row>
    <row r="60" spans="1:11" ht="15.75" customHeight="1">
      <c r="A60" s="39"/>
      <c r="B60" s="40"/>
      <c r="H60" s="38"/>
      <c r="K60" s="38"/>
    </row>
    <row r="61" spans="1:11" ht="15.75" customHeight="1">
      <c r="A61" s="39"/>
      <c r="B61" s="40"/>
      <c r="H61" s="38"/>
      <c r="K61" s="38"/>
    </row>
    <row r="62" spans="1:11" ht="15.75" customHeight="1">
      <c r="A62" s="39"/>
      <c r="B62" s="40"/>
      <c r="H62" s="38"/>
      <c r="K62" s="38"/>
    </row>
    <row r="63" spans="1:11" ht="15.75" customHeight="1">
      <c r="A63" s="39"/>
      <c r="B63" s="40"/>
      <c r="H63" s="38"/>
      <c r="K63" s="38"/>
    </row>
    <row r="64" spans="1:11" ht="15.75" customHeight="1">
      <c r="A64" s="39"/>
      <c r="B64" s="40"/>
      <c r="H64" s="38"/>
      <c r="K64" s="38"/>
    </row>
    <row r="65" spans="1:11" ht="15.75" customHeight="1">
      <c r="A65" s="39"/>
      <c r="B65" s="40"/>
      <c r="H65" s="38"/>
      <c r="K65" s="38"/>
    </row>
    <row r="66" spans="1:11" ht="15.75" customHeight="1">
      <c r="A66" s="39"/>
      <c r="B66" s="40"/>
      <c r="H66" s="38"/>
      <c r="K66" s="38"/>
    </row>
    <row r="67" spans="1:11" ht="15.75" customHeight="1">
      <c r="A67" s="39"/>
      <c r="B67" s="40"/>
      <c r="H67" s="38"/>
      <c r="K67" s="38"/>
    </row>
    <row r="68" spans="1:11" ht="15.75" customHeight="1">
      <c r="A68" s="39"/>
      <c r="B68" s="40"/>
      <c r="H68" s="38"/>
      <c r="K68" s="38"/>
    </row>
    <row r="69" spans="1:11" ht="15.75" customHeight="1">
      <c r="A69" s="39"/>
      <c r="B69" s="40"/>
      <c r="H69" s="38"/>
      <c r="K69" s="38"/>
    </row>
    <row r="70" spans="1:11" ht="15.75" customHeight="1">
      <c r="A70" s="39"/>
      <c r="B70" s="40"/>
      <c r="H70" s="38"/>
      <c r="K70" s="38"/>
    </row>
    <row r="71" spans="1:11" ht="15.75" customHeight="1">
      <c r="A71" s="39"/>
      <c r="B71" s="40"/>
      <c r="H71" s="38"/>
      <c r="K71" s="38"/>
    </row>
    <row r="72" spans="1:11" ht="15.75" customHeight="1">
      <c r="A72" s="39"/>
      <c r="B72" s="40"/>
      <c r="H72" s="38"/>
      <c r="K72" s="38"/>
    </row>
    <row r="73" spans="1:11" ht="15.75" customHeight="1">
      <c r="A73" s="39"/>
      <c r="B73" s="40"/>
      <c r="H73" s="38"/>
      <c r="K73" s="38"/>
    </row>
    <row r="74" spans="1:11" ht="15.75" customHeight="1">
      <c r="A74" s="39"/>
      <c r="B74" s="40"/>
      <c r="H74" s="38"/>
      <c r="K74" s="38"/>
    </row>
    <row r="75" spans="1:11" ht="15.75" customHeight="1">
      <c r="A75" s="39"/>
      <c r="B75" s="40"/>
      <c r="H75" s="38"/>
      <c r="K75" s="38"/>
    </row>
    <row r="76" spans="1:11" ht="15.75" customHeight="1">
      <c r="A76" s="39"/>
      <c r="B76" s="40"/>
      <c r="H76" s="38"/>
      <c r="K76" s="38"/>
    </row>
    <row r="77" spans="1:11" ht="15.75" customHeight="1">
      <c r="A77" s="39"/>
      <c r="B77" s="40"/>
      <c r="H77" s="38"/>
      <c r="K77" s="38"/>
    </row>
    <row r="78" spans="1:11" ht="15.75" customHeight="1">
      <c r="A78" s="39"/>
      <c r="B78" s="40"/>
      <c r="H78" s="38"/>
      <c r="K78" s="38"/>
    </row>
    <row r="79" spans="1:11" ht="15.75" customHeight="1">
      <c r="A79" s="39"/>
      <c r="B79" s="40"/>
      <c r="H79" s="38"/>
      <c r="K79" s="38"/>
    </row>
    <row r="80" spans="1:11" ht="15.75" customHeight="1">
      <c r="A80" s="39"/>
      <c r="B80" s="40"/>
      <c r="H80" s="38"/>
      <c r="K80" s="38"/>
    </row>
    <row r="81" spans="1:11" ht="15.75" customHeight="1">
      <c r="A81" s="39"/>
      <c r="B81" s="40"/>
      <c r="H81" s="38"/>
      <c r="K81" s="38"/>
    </row>
    <row r="82" spans="1:11" ht="15.75" customHeight="1">
      <c r="A82" s="39"/>
      <c r="B82" s="40"/>
      <c r="H82" s="38"/>
      <c r="K82" s="38"/>
    </row>
    <row r="83" spans="1:11" ht="15.75" customHeight="1">
      <c r="A83" s="39"/>
      <c r="B83" s="40"/>
      <c r="H83" s="38"/>
      <c r="K83" s="38"/>
    </row>
    <row r="84" spans="1:11" ht="15.75" customHeight="1">
      <c r="A84" s="39"/>
      <c r="B84" s="40"/>
      <c r="H84" s="38"/>
      <c r="K84" s="38"/>
    </row>
    <row r="85" spans="1:11" ht="15.75" customHeight="1">
      <c r="A85" s="39"/>
      <c r="B85" s="40"/>
      <c r="H85" s="38"/>
      <c r="K85" s="38"/>
    </row>
    <row r="86" spans="1:11" ht="15.75" customHeight="1">
      <c r="A86" s="39"/>
      <c r="B86" s="40"/>
      <c r="H86" s="38"/>
      <c r="K86" s="38"/>
    </row>
    <row r="87" spans="1:11" ht="15.75" customHeight="1">
      <c r="A87" s="39"/>
      <c r="B87" s="40"/>
      <c r="H87" s="38"/>
      <c r="K87" s="38"/>
    </row>
    <row r="88" spans="1:11" ht="15.75" customHeight="1">
      <c r="A88" s="39"/>
      <c r="B88" s="40"/>
      <c r="H88" s="38"/>
      <c r="K88" s="38"/>
    </row>
    <row r="89" spans="1:11" ht="15.75" customHeight="1">
      <c r="A89" s="39"/>
      <c r="B89" s="40"/>
      <c r="H89" s="38"/>
      <c r="K89" s="38"/>
    </row>
    <row r="90" spans="1:11" ht="15.75" customHeight="1">
      <c r="A90" s="39"/>
      <c r="B90" s="40"/>
      <c r="H90" s="38"/>
      <c r="K90" s="38"/>
    </row>
    <row r="91" spans="1:11" ht="15.75" customHeight="1">
      <c r="A91" s="39"/>
      <c r="B91" s="40"/>
      <c r="H91" s="38"/>
      <c r="K91" s="38"/>
    </row>
    <row r="92" spans="1:11" ht="15.75" customHeight="1">
      <c r="A92" s="39"/>
      <c r="B92" s="40"/>
      <c r="H92" s="38"/>
      <c r="K92" s="38"/>
    </row>
    <row r="93" spans="1:11" ht="15.75" customHeight="1">
      <c r="A93" s="39"/>
      <c r="B93" s="40"/>
      <c r="H93" s="38"/>
      <c r="K93" s="38"/>
    </row>
    <row r="94" spans="1:11" ht="15.75" customHeight="1">
      <c r="A94" s="39"/>
      <c r="B94" s="40"/>
      <c r="H94" s="38"/>
      <c r="K94" s="38"/>
    </row>
    <row r="95" spans="1:11" ht="15.75" customHeight="1">
      <c r="A95" s="39"/>
      <c r="B95" s="40"/>
      <c r="H95" s="38"/>
      <c r="K95" s="38"/>
    </row>
    <row r="96" spans="1:11" ht="15.75" customHeight="1">
      <c r="A96" s="39"/>
      <c r="B96" s="40"/>
      <c r="H96" s="38"/>
      <c r="K96" s="38"/>
    </row>
    <row r="97" spans="1:11" ht="15.75" customHeight="1">
      <c r="A97" s="39"/>
      <c r="B97" s="40"/>
      <c r="H97" s="38"/>
      <c r="K97" s="38"/>
    </row>
    <row r="98" spans="1:11" ht="15.75" customHeight="1">
      <c r="A98" s="39"/>
      <c r="B98" s="40"/>
      <c r="H98" s="38"/>
      <c r="K98" s="38"/>
    </row>
    <row r="99" spans="1:11" ht="15.75" customHeight="1">
      <c r="A99" s="39"/>
      <c r="B99" s="40"/>
      <c r="H99" s="38"/>
      <c r="K99" s="38"/>
    </row>
    <row r="100" spans="1:11" ht="15.75" customHeight="1">
      <c r="A100" s="39"/>
      <c r="B100" s="40"/>
      <c r="H100" s="38"/>
      <c r="K100" s="38"/>
    </row>
    <row r="101" spans="1:11" ht="15.75" customHeight="1">
      <c r="A101" s="39"/>
      <c r="B101" s="40"/>
      <c r="H101" s="38"/>
      <c r="K101" s="38"/>
    </row>
    <row r="102" spans="1:11" ht="15.75" customHeight="1">
      <c r="A102" s="39"/>
      <c r="B102" s="40"/>
      <c r="H102" s="38"/>
      <c r="K102" s="38"/>
    </row>
    <row r="103" spans="1:11" ht="15.75" customHeight="1">
      <c r="A103" s="39"/>
      <c r="B103" s="40"/>
      <c r="H103" s="38"/>
      <c r="K103" s="38"/>
    </row>
    <row r="104" spans="1:11" ht="15.75" customHeight="1">
      <c r="A104" s="39"/>
      <c r="B104" s="40"/>
      <c r="H104" s="38"/>
      <c r="K104" s="38"/>
    </row>
    <row r="105" spans="1:11" ht="15.75" customHeight="1">
      <c r="A105" s="39"/>
      <c r="B105" s="40"/>
      <c r="H105" s="38"/>
      <c r="K105" s="38"/>
    </row>
    <row r="106" spans="1:11" ht="15.75" customHeight="1">
      <c r="A106" s="39"/>
      <c r="B106" s="40"/>
      <c r="H106" s="38"/>
      <c r="K106" s="38"/>
    </row>
    <row r="107" spans="1:11" ht="15.75" customHeight="1">
      <c r="A107" s="39"/>
      <c r="B107" s="40"/>
      <c r="H107" s="38"/>
      <c r="K107" s="38"/>
    </row>
    <row r="108" spans="1:11" ht="15.75" customHeight="1">
      <c r="A108" s="39"/>
      <c r="B108" s="40"/>
      <c r="H108" s="38"/>
      <c r="K108" s="38"/>
    </row>
    <row r="109" spans="1:11" ht="15.75" customHeight="1">
      <c r="A109" s="39"/>
      <c r="B109" s="40"/>
      <c r="H109" s="38"/>
      <c r="K109" s="38"/>
    </row>
    <row r="110" spans="1:11" ht="15.75" customHeight="1">
      <c r="A110" s="39"/>
      <c r="B110" s="40"/>
      <c r="H110" s="38"/>
      <c r="K110" s="38"/>
    </row>
    <row r="111" spans="1:11" ht="15.75" customHeight="1">
      <c r="A111" s="39"/>
      <c r="B111" s="40"/>
      <c r="H111" s="38"/>
      <c r="K111" s="38"/>
    </row>
    <row r="112" spans="1:11" ht="15.75" customHeight="1">
      <c r="A112" s="39"/>
      <c r="B112" s="40"/>
      <c r="H112" s="38"/>
      <c r="K112" s="38"/>
    </row>
    <row r="113" spans="1:11" ht="15.75" customHeight="1">
      <c r="A113" s="39"/>
      <c r="B113" s="40"/>
      <c r="H113" s="38"/>
      <c r="K113" s="38"/>
    </row>
    <row r="114" spans="1:11" ht="15.75" customHeight="1">
      <c r="A114" s="39"/>
      <c r="B114" s="40"/>
      <c r="H114" s="38"/>
      <c r="K114" s="38"/>
    </row>
    <row r="115" spans="1:11" ht="15.75" customHeight="1">
      <c r="A115" s="39"/>
      <c r="B115" s="40"/>
      <c r="H115" s="38"/>
      <c r="K115" s="38"/>
    </row>
    <row r="116" spans="1:11" ht="15.75" customHeight="1">
      <c r="A116" s="39"/>
      <c r="B116" s="40"/>
      <c r="H116" s="38"/>
      <c r="K116" s="38"/>
    </row>
    <row r="117" spans="1:11" ht="15.75" customHeight="1">
      <c r="A117" s="39"/>
      <c r="B117" s="40"/>
      <c r="H117" s="38"/>
      <c r="K117" s="38"/>
    </row>
    <row r="118" spans="1:11" ht="15.75" customHeight="1">
      <c r="A118" s="39"/>
      <c r="B118" s="40"/>
      <c r="H118" s="38"/>
      <c r="K118" s="38"/>
    </row>
    <row r="119" spans="1:11" ht="15.75" customHeight="1">
      <c r="A119" s="39"/>
      <c r="B119" s="40"/>
      <c r="H119" s="38"/>
      <c r="K119" s="38"/>
    </row>
    <row r="120" spans="1:11" ht="15.75" customHeight="1">
      <c r="A120" s="39"/>
      <c r="B120" s="40"/>
      <c r="H120" s="38"/>
      <c r="K120" s="38"/>
    </row>
    <row r="121" spans="1:11" ht="15.75" customHeight="1">
      <c r="A121" s="39"/>
      <c r="B121" s="40"/>
      <c r="H121" s="38"/>
      <c r="K121" s="38"/>
    </row>
    <row r="122" spans="1:11" ht="15.75" customHeight="1">
      <c r="A122" s="39"/>
      <c r="B122" s="40"/>
      <c r="H122" s="38"/>
      <c r="K122" s="38"/>
    </row>
    <row r="123" spans="1:11" ht="15.75" customHeight="1">
      <c r="A123" s="39"/>
      <c r="B123" s="40"/>
      <c r="H123" s="38"/>
      <c r="K123" s="38"/>
    </row>
    <row r="124" spans="1:11" ht="15.75" customHeight="1">
      <c r="A124" s="39"/>
      <c r="B124" s="40"/>
      <c r="H124" s="38"/>
      <c r="K124" s="38"/>
    </row>
    <row r="125" spans="1:11" ht="15.75" customHeight="1">
      <c r="A125" s="39"/>
      <c r="B125" s="40"/>
      <c r="H125" s="38"/>
      <c r="K125" s="38"/>
    </row>
    <row r="126" spans="1:11" ht="15.75" customHeight="1">
      <c r="A126" s="39"/>
      <c r="B126" s="40"/>
      <c r="H126" s="38"/>
      <c r="K126" s="38"/>
    </row>
    <row r="127" spans="1:11" ht="15.75" customHeight="1">
      <c r="A127" s="39"/>
      <c r="B127" s="40"/>
      <c r="H127" s="38"/>
      <c r="K127" s="38"/>
    </row>
    <row r="128" spans="1:11" ht="15.75" customHeight="1">
      <c r="A128" s="39"/>
      <c r="B128" s="40"/>
      <c r="H128" s="38"/>
      <c r="K128" s="38"/>
    </row>
    <row r="129" spans="1:11" ht="15.75" customHeight="1">
      <c r="A129" s="39"/>
      <c r="B129" s="40"/>
      <c r="H129" s="38"/>
      <c r="K129" s="38"/>
    </row>
    <row r="130" spans="1:11" ht="15.75" customHeight="1">
      <c r="A130" s="39"/>
      <c r="B130" s="40"/>
      <c r="H130" s="38"/>
      <c r="K130" s="38"/>
    </row>
    <row r="131" spans="1:11" ht="15.75" customHeight="1">
      <c r="A131" s="39"/>
      <c r="B131" s="40"/>
      <c r="H131" s="38"/>
      <c r="K131" s="38"/>
    </row>
    <row r="132" spans="1:11" ht="15.75" customHeight="1">
      <c r="A132" s="39"/>
      <c r="B132" s="40"/>
      <c r="H132" s="38"/>
      <c r="K132" s="38"/>
    </row>
    <row r="133" spans="1:11" ht="15.75" customHeight="1">
      <c r="A133" s="39"/>
      <c r="B133" s="40"/>
      <c r="H133" s="38"/>
      <c r="K133" s="38"/>
    </row>
    <row r="134" spans="1:11" ht="15.75" customHeight="1">
      <c r="A134" s="39"/>
      <c r="B134" s="40"/>
      <c r="H134" s="38"/>
      <c r="K134" s="38"/>
    </row>
    <row r="135" spans="1:11" ht="15.75" customHeight="1">
      <c r="A135" s="39"/>
      <c r="B135" s="40"/>
      <c r="H135" s="38"/>
      <c r="K135" s="38"/>
    </row>
    <row r="136" spans="1:11" ht="15.75" customHeight="1">
      <c r="A136" s="39"/>
      <c r="B136" s="40"/>
      <c r="H136" s="38"/>
      <c r="K136" s="38"/>
    </row>
    <row r="137" spans="1:11" ht="15.75" customHeight="1">
      <c r="A137" s="39"/>
      <c r="B137" s="40"/>
      <c r="H137" s="38"/>
      <c r="K137" s="38"/>
    </row>
    <row r="138" spans="1:11" ht="15.75" customHeight="1">
      <c r="A138" s="39"/>
      <c r="B138" s="40"/>
      <c r="H138" s="38"/>
      <c r="K138" s="38"/>
    </row>
    <row r="139" spans="1:11" ht="15.75" customHeight="1">
      <c r="A139" s="39"/>
      <c r="B139" s="40"/>
      <c r="H139" s="38"/>
      <c r="K139" s="38"/>
    </row>
    <row r="140" spans="1:11" ht="15.75" customHeight="1">
      <c r="A140" s="39"/>
      <c r="B140" s="40"/>
      <c r="H140" s="38"/>
      <c r="K140" s="38"/>
    </row>
    <row r="141" spans="1:11" ht="15.75" customHeight="1">
      <c r="A141" s="39"/>
      <c r="B141" s="40"/>
      <c r="H141" s="38"/>
      <c r="K141" s="38"/>
    </row>
    <row r="142" spans="1:11" ht="15.75" customHeight="1">
      <c r="A142" s="39"/>
      <c r="B142" s="40"/>
      <c r="H142" s="38"/>
      <c r="K142" s="38"/>
    </row>
    <row r="143" spans="1:11" ht="15.75" customHeight="1">
      <c r="A143" s="39"/>
      <c r="B143" s="40"/>
      <c r="H143" s="38"/>
      <c r="K143" s="38"/>
    </row>
    <row r="144" spans="1:11" ht="15.75" customHeight="1">
      <c r="A144" s="39"/>
      <c r="B144" s="40"/>
      <c r="H144" s="38"/>
      <c r="K144" s="38"/>
    </row>
    <row r="145" spans="1:11" ht="15.75" customHeight="1">
      <c r="A145" s="39"/>
      <c r="B145" s="40"/>
      <c r="H145" s="38"/>
      <c r="K145" s="38"/>
    </row>
    <row r="146" spans="1:11" ht="15.75" customHeight="1">
      <c r="A146" s="39"/>
      <c r="B146" s="40"/>
      <c r="H146" s="38"/>
      <c r="K146" s="38"/>
    </row>
    <row r="147" spans="1:11" ht="15.75" customHeight="1">
      <c r="A147" s="39"/>
      <c r="B147" s="40"/>
      <c r="H147" s="38"/>
      <c r="K147" s="38"/>
    </row>
    <row r="148" spans="1:11" ht="15.75" customHeight="1">
      <c r="A148" s="39"/>
      <c r="B148" s="40"/>
      <c r="H148" s="38"/>
      <c r="K148" s="38"/>
    </row>
    <row r="149" spans="1:11" ht="15.75" customHeight="1">
      <c r="A149" s="39"/>
      <c r="B149" s="40"/>
      <c r="H149" s="38"/>
      <c r="K149" s="38"/>
    </row>
    <row r="150" spans="1:11" ht="15.75" customHeight="1">
      <c r="A150" s="39"/>
      <c r="B150" s="40"/>
      <c r="H150" s="38"/>
      <c r="K150" s="38"/>
    </row>
    <row r="151" spans="1:11" ht="15.75" customHeight="1">
      <c r="A151" s="39"/>
      <c r="B151" s="40"/>
      <c r="H151" s="38"/>
      <c r="K151" s="38"/>
    </row>
    <row r="152" spans="1:11" ht="15.75" customHeight="1">
      <c r="A152" s="39"/>
      <c r="B152" s="40"/>
      <c r="H152" s="38"/>
      <c r="K152" s="38"/>
    </row>
    <row r="153" spans="1:11" ht="15.75" customHeight="1">
      <c r="A153" s="39"/>
      <c r="B153" s="40"/>
      <c r="H153" s="38"/>
      <c r="K153" s="38"/>
    </row>
    <row r="154" spans="1:11" ht="15.75" customHeight="1">
      <c r="A154" s="39"/>
      <c r="B154" s="40"/>
      <c r="H154" s="38"/>
      <c r="K154" s="38"/>
    </row>
    <row r="155" spans="1:11" ht="15.75" customHeight="1">
      <c r="A155" s="39"/>
      <c r="B155" s="40"/>
      <c r="H155" s="38"/>
      <c r="K155" s="38"/>
    </row>
    <row r="156" spans="1:11" ht="15.75" customHeight="1">
      <c r="A156" s="39"/>
      <c r="B156" s="40"/>
      <c r="H156" s="38"/>
      <c r="K156" s="38"/>
    </row>
    <row r="157" spans="1:11" ht="15.75" customHeight="1">
      <c r="A157" s="39"/>
      <c r="B157" s="40"/>
      <c r="H157" s="38"/>
      <c r="K157" s="38"/>
    </row>
    <row r="158" spans="1:11" ht="15.75" customHeight="1">
      <c r="A158" s="39"/>
      <c r="B158" s="40"/>
      <c r="H158" s="38"/>
      <c r="K158" s="38"/>
    </row>
    <row r="159" spans="1:11" ht="15.75" customHeight="1">
      <c r="A159" s="39"/>
      <c r="B159" s="40"/>
      <c r="H159" s="38"/>
      <c r="K159" s="38"/>
    </row>
    <row r="160" spans="1:11" ht="15.75" customHeight="1">
      <c r="A160" s="39"/>
      <c r="B160" s="40"/>
      <c r="H160" s="38"/>
      <c r="K160" s="38"/>
    </row>
    <row r="161" spans="1:11" ht="15.75" customHeight="1">
      <c r="A161" s="39"/>
      <c r="B161" s="40"/>
      <c r="H161" s="38"/>
      <c r="K161" s="38"/>
    </row>
    <row r="162" spans="1:11" ht="15.75" customHeight="1">
      <c r="A162" s="39"/>
      <c r="B162" s="40"/>
      <c r="H162" s="38"/>
      <c r="K162" s="38"/>
    </row>
    <row r="163" spans="1:11" ht="15.75" customHeight="1">
      <c r="A163" s="39"/>
      <c r="B163" s="40"/>
      <c r="H163" s="38"/>
      <c r="K163" s="38"/>
    </row>
    <row r="164" spans="1:11" ht="15.75" customHeight="1">
      <c r="A164" s="39"/>
      <c r="B164" s="40"/>
      <c r="H164" s="38"/>
      <c r="K164" s="38"/>
    </row>
    <row r="165" spans="1:11" ht="15.75" customHeight="1">
      <c r="A165" s="39"/>
      <c r="B165" s="40"/>
      <c r="H165" s="38"/>
      <c r="K165" s="38"/>
    </row>
    <row r="166" spans="1:11" ht="15.75" customHeight="1">
      <c r="A166" s="39"/>
      <c r="B166" s="40"/>
      <c r="H166" s="38"/>
      <c r="K166" s="38"/>
    </row>
    <row r="167" spans="1:11" ht="15.75" customHeight="1">
      <c r="A167" s="39"/>
      <c r="B167" s="40"/>
      <c r="H167" s="38"/>
      <c r="K167" s="38"/>
    </row>
    <row r="168" spans="1:11" ht="15.75" customHeight="1">
      <c r="A168" s="39"/>
      <c r="B168" s="40"/>
      <c r="H168" s="38"/>
      <c r="K168" s="38"/>
    </row>
    <row r="169" spans="1:11" ht="15.75" customHeight="1">
      <c r="A169" s="39"/>
      <c r="B169" s="40"/>
      <c r="H169" s="38"/>
      <c r="K169" s="38"/>
    </row>
    <row r="170" spans="1:11" ht="15.75" customHeight="1">
      <c r="A170" s="39"/>
      <c r="B170" s="40"/>
      <c r="H170" s="38"/>
      <c r="K170" s="38"/>
    </row>
    <row r="171" spans="1:11" ht="15.75" customHeight="1">
      <c r="A171" s="39"/>
      <c r="B171" s="40"/>
      <c r="H171" s="38"/>
      <c r="K171" s="38"/>
    </row>
    <row r="172" spans="1:11" ht="15.75" customHeight="1">
      <c r="A172" s="39"/>
      <c r="B172" s="40"/>
      <c r="H172" s="38"/>
      <c r="K172" s="38"/>
    </row>
    <row r="173" spans="1:11" ht="15.75" customHeight="1">
      <c r="A173" s="39"/>
      <c r="B173" s="40"/>
      <c r="H173" s="38"/>
      <c r="K173" s="38"/>
    </row>
    <row r="174" spans="1:11" ht="15.75" customHeight="1">
      <c r="A174" s="39"/>
      <c r="B174" s="40"/>
      <c r="H174" s="38"/>
      <c r="K174" s="38"/>
    </row>
    <row r="175" spans="1:11" ht="15.75" customHeight="1">
      <c r="A175" s="39"/>
      <c r="B175" s="40"/>
      <c r="H175" s="38"/>
      <c r="K175" s="38"/>
    </row>
    <row r="176" spans="1:11" ht="15.75" customHeight="1">
      <c r="A176" s="39"/>
      <c r="B176" s="40"/>
      <c r="H176" s="38"/>
      <c r="K176" s="38"/>
    </row>
    <row r="177" spans="1:11" ht="15.75" customHeight="1">
      <c r="A177" s="39"/>
      <c r="B177" s="40"/>
      <c r="H177" s="38"/>
      <c r="K177" s="38"/>
    </row>
    <row r="178" spans="1:11" ht="15.75" customHeight="1">
      <c r="A178" s="39"/>
      <c r="B178" s="40"/>
      <c r="H178" s="38"/>
      <c r="K178" s="38"/>
    </row>
    <row r="179" spans="1:11" ht="15.75" customHeight="1">
      <c r="A179" s="39"/>
      <c r="B179" s="40"/>
      <c r="H179" s="38"/>
      <c r="K179" s="38"/>
    </row>
    <row r="180" spans="1:11" ht="15.75" customHeight="1">
      <c r="A180" s="39"/>
      <c r="B180" s="40"/>
      <c r="H180" s="38"/>
      <c r="K180" s="38"/>
    </row>
    <row r="181" spans="1:11" ht="15.75" customHeight="1">
      <c r="A181" s="39"/>
      <c r="B181" s="40"/>
      <c r="H181" s="38"/>
      <c r="K181" s="38"/>
    </row>
    <row r="182" spans="1:11" ht="15.75" customHeight="1">
      <c r="A182" s="39"/>
      <c r="B182" s="40"/>
      <c r="H182" s="38"/>
      <c r="K182" s="38"/>
    </row>
    <row r="183" spans="1:11" ht="15.75" customHeight="1">
      <c r="A183" s="39"/>
      <c r="B183" s="40"/>
      <c r="H183" s="38"/>
      <c r="K183" s="38"/>
    </row>
    <row r="184" spans="1:11" ht="15.75" customHeight="1">
      <c r="A184" s="39"/>
      <c r="B184" s="40"/>
      <c r="H184" s="38"/>
      <c r="K184" s="38"/>
    </row>
    <row r="185" spans="1:11" ht="15.75" customHeight="1">
      <c r="A185" s="39"/>
      <c r="B185" s="40"/>
      <c r="H185" s="38"/>
      <c r="K185" s="38"/>
    </row>
    <row r="186" spans="1:11" ht="15.75" customHeight="1">
      <c r="A186" s="39"/>
      <c r="B186" s="40"/>
      <c r="H186" s="38"/>
      <c r="K186" s="38"/>
    </row>
    <row r="187" spans="1:11" ht="15.75" customHeight="1">
      <c r="A187" s="39"/>
      <c r="B187" s="40"/>
      <c r="H187" s="38"/>
      <c r="K187" s="38"/>
    </row>
    <row r="188" spans="1:11" ht="15.75" customHeight="1">
      <c r="A188" s="39"/>
      <c r="B188" s="40"/>
      <c r="H188" s="38"/>
      <c r="K188" s="38"/>
    </row>
    <row r="189" spans="1:11" ht="15.75" customHeight="1">
      <c r="A189" s="39"/>
      <c r="B189" s="40"/>
      <c r="H189" s="38"/>
      <c r="K189" s="38"/>
    </row>
    <row r="190" spans="1:11" ht="15.75" customHeight="1">
      <c r="A190" s="39"/>
      <c r="B190" s="40"/>
      <c r="H190" s="38"/>
      <c r="K190" s="38"/>
    </row>
    <row r="191" spans="1:11" ht="15.75" customHeight="1">
      <c r="A191" s="39"/>
      <c r="B191" s="40"/>
      <c r="H191" s="38"/>
      <c r="K191" s="38"/>
    </row>
    <row r="192" spans="1:11" ht="15.75" customHeight="1">
      <c r="A192" s="39"/>
      <c r="B192" s="40"/>
      <c r="H192" s="38"/>
      <c r="K192" s="38"/>
    </row>
    <row r="193" spans="1:11" ht="15.75" customHeight="1">
      <c r="A193" s="39"/>
      <c r="B193" s="40"/>
      <c r="H193" s="38"/>
      <c r="K193" s="38"/>
    </row>
    <row r="194" spans="1:11" ht="15.75" customHeight="1">
      <c r="A194" s="39"/>
      <c r="B194" s="40"/>
      <c r="H194" s="38"/>
      <c r="K194" s="38"/>
    </row>
    <row r="195" spans="1:11" ht="15.75" customHeight="1">
      <c r="A195" s="39"/>
      <c r="B195" s="40"/>
      <c r="H195" s="38"/>
      <c r="K195" s="38"/>
    </row>
    <row r="196" spans="1:11" ht="15.75" customHeight="1">
      <c r="A196" s="39"/>
      <c r="B196" s="40"/>
      <c r="H196" s="38"/>
      <c r="K196" s="38"/>
    </row>
    <row r="197" spans="1:11" ht="15.75" customHeight="1">
      <c r="A197" s="39"/>
      <c r="B197" s="40"/>
      <c r="H197" s="38"/>
      <c r="K197" s="38"/>
    </row>
    <row r="198" spans="1:11" ht="15.75" customHeight="1">
      <c r="A198" s="39"/>
      <c r="B198" s="40"/>
      <c r="H198" s="38"/>
      <c r="K198" s="38"/>
    </row>
    <row r="199" spans="1:11" ht="15.75" customHeight="1">
      <c r="A199" s="39"/>
      <c r="B199" s="40"/>
      <c r="H199" s="38"/>
      <c r="K199" s="38"/>
    </row>
    <row r="200" spans="1:11" ht="15.75" customHeight="1">
      <c r="A200" s="39"/>
      <c r="B200" s="40"/>
      <c r="H200" s="38"/>
      <c r="K200" s="38"/>
    </row>
    <row r="201" spans="1:11" ht="15.75" customHeight="1">
      <c r="A201" s="39"/>
      <c r="B201" s="40"/>
      <c r="H201" s="38"/>
      <c r="K201" s="38"/>
    </row>
    <row r="202" spans="1:11" ht="15.75" customHeight="1">
      <c r="A202" s="39"/>
      <c r="B202" s="40"/>
      <c r="H202" s="38"/>
      <c r="K202" s="38"/>
    </row>
    <row r="203" spans="1:11" ht="15.75" customHeight="1">
      <c r="A203" s="39"/>
      <c r="B203" s="40"/>
      <c r="H203" s="38"/>
      <c r="K203" s="38"/>
    </row>
    <row r="204" spans="1:11" ht="15.75" customHeight="1">
      <c r="A204" s="39"/>
      <c r="B204" s="40"/>
      <c r="H204" s="38"/>
      <c r="K204" s="38"/>
    </row>
    <row r="205" spans="1:11" ht="15.75" customHeight="1">
      <c r="A205" s="39"/>
      <c r="B205" s="40"/>
      <c r="H205" s="38"/>
      <c r="K205" s="38"/>
    </row>
    <row r="206" spans="1:11" ht="15.75" customHeight="1">
      <c r="A206" s="39"/>
      <c r="B206" s="40"/>
      <c r="H206" s="38"/>
      <c r="K206" s="38"/>
    </row>
    <row r="207" spans="1:11" ht="15.75" customHeight="1">
      <c r="A207" s="39"/>
      <c r="B207" s="40"/>
      <c r="H207" s="38"/>
      <c r="K207" s="38"/>
    </row>
    <row r="208" spans="1:11" ht="15.75" customHeight="1">
      <c r="A208" s="39"/>
      <c r="B208" s="40"/>
      <c r="H208" s="38"/>
      <c r="K208" s="38"/>
    </row>
    <row r="209" spans="1:11" ht="15.75" customHeight="1">
      <c r="A209" s="39"/>
      <c r="B209" s="40"/>
      <c r="H209" s="38"/>
      <c r="K209" s="38"/>
    </row>
    <row r="210" spans="1:11" ht="15.75" customHeight="1">
      <c r="A210" s="39"/>
      <c r="B210" s="40"/>
      <c r="H210" s="38"/>
      <c r="K210" s="38"/>
    </row>
    <row r="211" spans="1:11" ht="15.75" customHeight="1">
      <c r="A211" s="39"/>
      <c r="B211" s="40"/>
      <c r="H211" s="38"/>
      <c r="K211" s="38"/>
    </row>
    <row r="212" spans="1:11" ht="15.75" customHeight="1">
      <c r="A212" s="39"/>
      <c r="B212" s="40"/>
      <c r="H212" s="38"/>
      <c r="K212" s="38"/>
    </row>
    <row r="213" spans="1:11" ht="15.75" customHeight="1">
      <c r="A213" s="39"/>
      <c r="B213" s="40"/>
      <c r="H213" s="38"/>
      <c r="K213" s="38"/>
    </row>
    <row r="214" spans="1:11" ht="15.75" customHeight="1">
      <c r="A214" s="39"/>
      <c r="B214" s="40"/>
      <c r="H214" s="38"/>
      <c r="K214" s="38"/>
    </row>
    <row r="215" spans="1:11" ht="15.75" customHeight="1">
      <c r="A215" s="39"/>
      <c r="B215" s="40"/>
      <c r="H215" s="38"/>
      <c r="K215" s="38"/>
    </row>
    <row r="216" spans="1:11" ht="15.75" customHeight="1">
      <c r="A216" s="39"/>
      <c r="B216" s="40"/>
      <c r="H216" s="38"/>
      <c r="K216" s="38"/>
    </row>
    <row r="217" spans="1:11" ht="15.75" customHeight="1">
      <c r="A217" s="39"/>
      <c r="B217" s="40"/>
      <c r="H217" s="38"/>
      <c r="K217" s="38"/>
    </row>
    <row r="218" spans="1:11" ht="15.75" customHeight="1">
      <c r="A218" s="39"/>
      <c r="B218" s="40"/>
      <c r="H218" s="38"/>
      <c r="K218" s="38"/>
    </row>
    <row r="219" spans="1:11" ht="15.75" customHeight="1">
      <c r="A219" s="39"/>
      <c r="B219" s="40"/>
      <c r="H219" s="38"/>
      <c r="K219" s="38"/>
    </row>
    <row r="220" spans="1:11" ht="15.75" customHeight="1">
      <c r="A220" s="39"/>
      <c r="B220" s="40"/>
      <c r="H220" s="38"/>
      <c r="K220" s="38"/>
    </row>
    <row r="221" spans="1:11" ht="15.75" customHeight="1">
      <c r="A221" s="39"/>
      <c r="B221" s="40"/>
      <c r="H221" s="38"/>
      <c r="K221" s="38"/>
    </row>
    <row r="222" spans="1:11" ht="15.75" customHeight="1">
      <c r="A222" s="39"/>
      <c r="B222" s="40"/>
      <c r="H222" s="38"/>
      <c r="K222" s="38"/>
    </row>
    <row r="223" spans="1:11" ht="15.75" customHeight="1">
      <c r="A223" s="39"/>
      <c r="B223" s="40"/>
      <c r="H223" s="38"/>
      <c r="K223" s="38"/>
    </row>
    <row r="224" spans="1:11" ht="15.75" customHeight="1">
      <c r="A224" s="39"/>
      <c r="B224" s="40"/>
      <c r="H224" s="38"/>
      <c r="K224" s="38"/>
    </row>
    <row r="225" spans="1:11" ht="15.75" customHeight="1">
      <c r="A225" s="39"/>
      <c r="B225" s="40"/>
      <c r="H225" s="38"/>
      <c r="K225" s="38"/>
    </row>
    <row r="226" spans="1:11" ht="15.75" customHeight="1">
      <c r="A226" s="39"/>
      <c r="B226" s="40"/>
      <c r="H226" s="38"/>
      <c r="K226" s="38"/>
    </row>
    <row r="227" spans="1:11" ht="15.75" customHeight="1">
      <c r="A227" s="39"/>
      <c r="B227" s="40"/>
      <c r="H227" s="38"/>
      <c r="K227" s="38"/>
    </row>
    <row r="228" spans="1:11" ht="15.75" customHeight="1">
      <c r="A228" s="39"/>
      <c r="B228" s="40"/>
      <c r="H228" s="38"/>
      <c r="K228" s="38"/>
    </row>
    <row r="229" spans="1:11" ht="15.75" customHeight="1">
      <c r="A229" s="39"/>
      <c r="B229" s="40"/>
      <c r="H229" s="38"/>
      <c r="K229" s="38"/>
    </row>
    <row r="230" spans="1:11" ht="15.75" customHeight="1">
      <c r="A230" s="39"/>
      <c r="B230" s="40"/>
      <c r="H230" s="38"/>
      <c r="K230" s="38"/>
    </row>
    <row r="231" spans="1:11" ht="15.75" customHeight="1">
      <c r="A231" s="39"/>
      <c r="B231" s="40"/>
      <c r="H231" s="38"/>
      <c r="K231" s="38"/>
    </row>
    <row r="232" spans="1:11" ht="15.75" customHeight="1">
      <c r="A232" s="39"/>
      <c r="B232" s="40"/>
      <c r="H232" s="38"/>
      <c r="K232" s="38"/>
    </row>
    <row r="233" spans="1:11" ht="15.75" customHeight="1">
      <c r="A233" s="39"/>
      <c r="B233" s="40"/>
      <c r="H233" s="38"/>
      <c r="K233" s="38"/>
    </row>
    <row r="234" spans="1:11" ht="15.75" customHeight="1">
      <c r="A234" s="39"/>
      <c r="B234" s="40"/>
      <c r="H234" s="38"/>
      <c r="K234" s="38"/>
    </row>
    <row r="235" spans="1:11" ht="15.75" customHeight="1">
      <c r="A235" s="39"/>
      <c r="B235" s="40"/>
      <c r="H235" s="38"/>
      <c r="K235" s="38"/>
    </row>
    <row r="236" spans="1:11" ht="15.75" customHeight="1">
      <c r="A236" s="39"/>
      <c r="B236" s="40"/>
      <c r="H236" s="38"/>
      <c r="K236" s="38"/>
    </row>
    <row r="237" spans="1:11" ht="15.75" customHeight="1">
      <c r="A237" s="39"/>
      <c r="B237" s="40"/>
      <c r="H237" s="38"/>
      <c r="K237" s="38"/>
    </row>
    <row r="238" spans="1:11" ht="15.75" customHeight="1">
      <c r="A238" s="39"/>
      <c r="B238" s="40"/>
      <c r="H238" s="38"/>
      <c r="K238" s="38"/>
    </row>
    <row r="239" spans="1:11" ht="15.75" customHeight="1">
      <c r="A239" s="39"/>
      <c r="B239" s="40"/>
      <c r="H239" s="38"/>
      <c r="K239" s="38"/>
    </row>
    <row r="240" spans="1:11" ht="15.75" customHeight="1">
      <c r="A240" s="39"/>
      <c r="B240" s="40"/>
      <c r="H240" s="38"/>
      <c r="K240" s="38"/>
    </row>
    <row r="241" spans="1:11" ht="15.75" customHeight="1">
      <c r="A241" s="39"/>
      <c r="B241" s="40"/>
      <c r="H241" s="38"/>
      <c r="K241" s="38"/>
    </row>
    <row r="242" spans="1:11" ht="15.75" customHeight="1">
      <c r="A242" s="39"/>
      <c r="B242" s="40"/>
      <c r="H242" s="38"/>
      <c r="K242" s="38"/>
    </row>
    <row r="243" spans="1:11" ht="15.75" customHeight="1">
      <c r="A243" s="39"/>
      <c r="B243" s="40"/>
      <c r="H243" s="38"/>
      <c r="K243" s="38"/>
    </row>
    <row r="244" spans="1:11" ht="15.75" customHeight="1">
      <c r="A244" s="39"/>
      <c r="B244" s="40"/>
      <c r="H244" s="38"/>
      <c r="K244" s="38"/>
    </row>
    <row r="245" spans="1:11" ht="15.75" customHeight="1">
      <c r="A245" s="39"/>
      <c r="B245" s="40"/>
      <c r="H245" s="38"/>
      <c r="K245" s="38"/>
    </row>
    <row r="246" spans="1:11" ht="15.75" customHeight="1">
      <c r="A246" s="39"/>
      <c r="B246" s="40"/>
      <c r="H246" s="38"/>
      <c r="K246" s="38"/>
    </row>
    <row r="247" spans="1:11" ht="15.75" customHeight="1">
      <c r="A247" s="39"/>
      <c r="B247" s="40"/>
      <c r="H247" s="38"/>
      <c r="K247" s="38"/>
    </row>
    <row r="248" spans="1:11" ht="15.75" customHeight="1">
      <c r="A248" s="39"/>
      <c r="B248" s="40"/>
      <c r="H248" s="38"/>
      <c r="K248" s="38"/>
    </row>
    <row r="249" spans="1:11" ht="15.75" customHeight="1">
      <c r="A249" s="39"/>
      <c r="B249" s="40"/>
      <c r="H249" s="38"/>
      <c r="K249" s="38"/>
    </row>
    <row r="250" spans="1:11" ht="15.75" customHeight="1">
      <c r="A250" s="39"/>
      <c r="B250" s="40"/>
      <c r="H250" s="38"/>
      <c r="K250" s="38"/>
    </row>
    <row r="251" spans="1:11" ht="15.75" customHeight="1">
      <c r="A251" s="39"/>
      <c r="B251" s="40"/>
      <c r="H251" s="38"/>
      <c r="K251" s="38"/>
    </row>
    <row r="252" spans="1:11" ht="15.75" customHeight="1">
      <c r="A252" s="39"/>
      <c r="B252" s="40"/>
      <c r="H252" s="38"/>
      <c r="K252" s="38"/>
    </row>
    <row r="253" spans="1:11" ht="15.75" customHeight="1">
      <c r="A253" s="39"/>
      <c r="B253" s="40"/>
      <c r="H253" s="38"/>
      <c r="K253" s="38"/>
    </row>
    <row r="254" spans="1:11" ht="15.75" customHeight="1">
      <c r="A254" s="39"/>
      <c r="B254" s="40"/>
      <c r="H254" s="38"/>
      <c r="K254" s="38"/>
    </row>
    <row r="255" spans="1:11" ht="15.75" customHeight="1">
      <c r="A255" s="39"/>
      <c r="B255" s="40"/>
      <c r="H255" s="38"/>
      <c r="K255" s="38"/>
    </row>
    <row r="256" spans="1:11" ht="15.75" customHeight="1">
      <c r="A256" s="39"/>
      <c r="B256" s="40"/>
      <c r="H256" s="38"/>
      <c r="K256" s="38"/>
    </row>
    <row r="257" spans="1:11" ht="15.75" customHeight="1">
      <c r="A257" s="39"/>
      <c r="B257" s="40"/>
      <c r="H257" s="38"/>
      <c r="K257" s="38"/>
    </row>
    <row r="258" spans="1:11" ht="15.75" customHeight="1">
      <c r="A258" s="39"/>
      <c r="B258" s="40"/>
      <c r="H258" s="38"/>
      <c r="K258" s="38"/>
    </row>
    <row r="259" spans="1:11" ht="15.75" customHeight="1">
      <c r="A259" s="39"/>
      <c r="B259" s="40"/>
      <c r="H259" s="38"/>
      <c r="K259" s="38"/>
    </row>
    <row r="260" spans="1:11" ht="15.75" customHeight="1">
      <c r="A260" s="39"/>
      <c r="B260" s="40"/>
      <c r="H260" s="38"/>
      <c r="K260" s="38"/>
    </row>
    <row r="261" spans="1:11" ht="15.75" customHeight="1">
      <c r="A261" s="39"/>
      <c r="B261" s="40"/>
      <c r="H261" s="38"/>
      <c r="K261" s="38"/>
    </row>
    <row r="262" spans="1:11" ht="15.75" customHeight="1">
      <c r="A262" s="39"/>
      <c r="B262" s="40"/>
      <c r="H262" s="38"/>
      <c r="K262" s="38"/>
    </row>
    <row r="263" spans="1:11" ht="15.75" customHeight="1">
      <c r="A263" s="39"/>
      <c r="B263" s="40"/>
      <c r="H263" s="38"/>
      <c r="K263" s="38"/>
    </row>
    <row r="264" spans="1:11" ht="15.75" customHeight="1">
      <c r="A264" s="39"/>
      <c r="B264" s="40"/>
      <c r="H264" s="38"/>
      <c r="K264" s="38"/>
    </row>
    <row r="265" spans="1:11" ht="15.75" customHeight="1">
      <c r="A265" s="39"/>
      <c r="B265" s="40"/>
      <c r="H265" s="38"/>
      <c r="K265" s="38"/>
    </row>
    <row r="266" spans="1:11" ht="15.75" customHeight="1">
      <c r="A266" s="39"/>
      <c r="B266" s="40"/>
      <c r="H266" s="38"/>
      <c r="K266" s="38"/>
    </row>
    <row r="267" spans="1:11" ht="15.75" customHeight="1">
      <c r="A267" s="39"/>
      <c r="B267" s="40"/>
      <c r="H267" s="38"/>
      <c r="K267" s="38"/>
    </row>
    <row r="268" spans="1:11" ht="15.75" customHeight="1">
      <c r="A268" s="39"/>
      <c r="B268" s="40"/>
      <c r="H268" s="38"/>
      <c r="K268" s="38"/>
    </row>
    <row r="269" spans="1:11" ht="15.75" customHeight="1">
      <c r="A269" s="39"/>
      <c r="B269" s="40"/>
      <c r="H269" s="38"/>
      <c r="K269" s="38"/>
    </row>
    <row r="270" spans="1:11" ht="15.75" customHeight="1">
      <c r="A270" s="39"/>
      <c r="B270" s="40"/>
      <c r="H270" s="38"/>
      <c r="K270" s="38"/>
    </row>
    <row r="271" spans="1:11" ht="15.75" customHeight="1">
      <c r="A271" s="39"/>
      <c r="B271" s="40"/>
      <c r="H271" s="38"/>
      <c r="K271" s="38"/>
    </row>
    <row r="272" spans="1:11" ht="15.75" customHeight="1">
      <c r="A272" s="39"/>
      <c r="B272" s="40"/>
      <c r="H272" s="38"/>
      <c r="K272" s="38"/>
    </row>
    <row r="273" spans="1:11" ht="15.75" customHeight="1">
      <c r="A273" s="39"/>
      <c r="B273" s="40"/>
      <c r="H273" s="38"/>
      <c r="K273" s="38"/>
    </row>
    <row r="274" spans="1:11" ht="15.75" customHeight="1">
      <c r="A274" s="39"/>
      <c r="B274" s="40"/>
      <c r="H274" s="38"/>
      <c r="K274" s="38"/>
    </row>
    <row r="275" spans="1:11" ht="15.75" customHeight="1">
      <c r="A275" s="39"/>
      <c r="B275" s="40"/>
      <c r="H275" s="38"/>
      <c r="K275" s="38"/>
    </row>
    <row r="276" spans="1:11" ht="15.75" customHeight="1">
      <c r="A276" s="39"/>
      <c r="B276" s="40"/>
      <c r="H276" s="38"/>
      <c r="K276" s="38"/>
    </row>
    <row r="277" spans="1:11" ht="15.75" customHeight="1">
      <c r="A277" s="39"/>
      <c r="B277" s="40"/>
      <c r="H277" s="38"/>
      <c r="K277" s="38"/>
    </row>
    <row r="278" spans="1:11" ht="15.75" customHeight="1">
      <c r="A278" s="39"/>
      <c r="B278" s="40"/>
      <c r="H278" s="38"/>
      <c r="K278" s="38"/>
    </row>
    <row r="279" spans="1:11" ht="15.75" customHeight="1">
      <c r="A279" s="39"/>
      <c r="B279" s="40"/>
      <c r="H279" s="38"/>
      <c r="K279" s="38"/>
    </row>
    <row r="280" spans="1:11" ht="15.75" customHeight="1">
      <c r="A280" s="39"/>
      <c r="B280" s="40"/>
      <c r="H280" s="38"/>
      <c r="K280" s="38"/>
    </row>
    <row r="281" spans="1:11" ht="15.75" customHeight="1">
      <c r="A281" s="39"/>
      <c r="B281" s="40"/>
      <c r="H281" s="38"/>
      <c r="K281" s="38"/>
    </row>
    <row r="282" spans="1:11" ht="15.75" customHeight="1">
      <c r="A282" s="39"/>
      <c r="B282" s="40"/>
      <c r="H282" s="38"/>
      <c r="K282" s="38"/>
    </row>
    <row r="283" spans="1:11" ht="15.75" customHeight="1">
      <c r="A283" s="39"/>
      <c r="B283" s="40"/>
      <c r="H283" s="38"/>
      <c r="K283" s="38"/>
    </row>
    <row r="284" spans="1:11" ht="15.75" customHeight="1">
      <c r="A284" s="39"/>
      <c r="B284" s="40"/>
      <c r="H284" s="38"/>
      <c r="K284" s="38"/>
    </row>
    <row r="285" spans="1:11" ht="15.75" customHeight="1">
      <c r="A285" s="39"/>
      <c r="B285" s="40"/>
      <c r="H285" s="38"/>
      <c r="K285" s="38"/>
    </row>
    <row r="286" spans="1:11" ht="15.75" customHeight="1">
      <c r="A286" s="39"/>
      <c r="B286" s="40"/>
      <c r="H286" s="38"/>
      <c r="K286" s="38"/>
    </row>
    <row r="287" spans="1:11" ht="15.75" customHeight="1">
      <c r="A287" s="39"/>
      <c r="B287" s="40"/>
      <c r="H287" s="38"/>
      <c r="K287" s="38"/>
    </row>
    <row r="288" spans="1:11" ht="15.75" customHeight="1">
      <c r="A288" s="39"/>
      <c r="B288" s="40"/>
      <c r="H288" s="38"/>
      <c r="K288" s="38"/>
    </row>
    <row r="289" spans="1:11" ht="15.75" customHeight="1">
      <c r="A289" s="39"/>
      <c r="B289" s="40"/>
      <c r="H289" s="38"/>
      <c r="K289" s="38"/>
    </row>
    <row r="290" spans="1:11" ht="15.75" customHeight="1">
      <c r="A290" s="39"/>
      <c r="B290" s="40"/>
      <c r="H290" s="38"/>
      <c r="K290" s="38"/>
    </row>
    <row r="291" spans="1:11" ht="15.75" customHeight="1">
      <c r="A291" s="39"/>
      <c r="B291" s="40"/>
      <c r="H291" s="38"/>
      <c r="K291" s="38"/>
    </row>
    <row r="292" spans="1:11" ht="15.75" customHeight="1">
      <c r="A292" s="39"/>
      <c r="B292" s="40"/>
      <c r="H292" s="38"/>
      <c r="K292" s="38"/>
    </row>
    <row r="293" spans="1:11" ht="15.75" customHeight="1">
      <c r="A293" s="39"/>
      <c r="B293" s="40"/>
      <c r="H293" s="38"/>
      <c r="K293" s="38"/>
    </row>
    <row r="294" spans="1:11" ht="15.75" customHeight="1">
      <c r="A294" s="39"/>
      <c r="B294" s="40"/>
      <c r="H294" s="38"/>
      <c r="K294" s="38"/>
    </row>
    <row r="295" spans="1:11" ht="15.75" customHeight="1">
      <c r="A295" s="39"/>
      <c r="B295" s="40"/>
      <c r="H295" s="38"/>
      <c r="K295" s="38"/>
    </row>
    <row r="296" spans="1:11" ht="15.75" customHeight="1">
      <c r="A296" s="39"/>
      <c r="B296" s="40"/>
      <c r="H296" s="38"/>
      <c r="K296" s="38"/>
    </row>
    <row r="297" spans="1:11" ht="15.75" customHeight="1">
      <c r="A297" s="39"/>
      <c r="B297" s="40"/>
      <c r="H297" s="38"/>
      <c r="K297" s="38"/>
    </row>
    <row r="298" spans="1:11" ht="15.75" customHeight="1">
      <c r="A298" s="39"/>
      <c r="B298" s="40"/>
      <c r="H298" s="38"/>
      <c r="K298" s="38"/>
    </row>
    <row r="299" spans="1:11" ht="15.75" customHeight="1">
      <c r="A299" s="39"/>
      <c r="B299" s="40"/>
      <c r="H299" s="38"/>
      <c r="K299" s="38"/>
    </row>
    <row r="300" spans="1:11" ht="15.75" customHeight="1">
      <c r="A300" s="39"/>
      <c r="B300" s="40"/>
      <c r="H300" s="38"/>
      <c r="K300" s="38"/>
    </row>
    <row r="301" spans="1:11" ht="15.75" customHeight="1">
      <c r="A301" s="39"/>
      <c r="B301" s="40"/>
      <c r="H301" s="38"/>
      <c r="K301" s="38"/>
    </row>
    <row r="302" spans="1:11" ht="15.75" customHeight="1">
      <c r="A302" s="39"/>
      <c r="B302" s="40"/>
      <c r="H302" s="38"/>
      <c r="K302" s="38"/>
    </row>
    <row r="303" spans="1:11" ht="15.75" customHeight="1">
      <c r="A303" s="39"/>
      <c r="B303" s="40"/>
      <c r="H303" s="38"/>
      <c r="K303" s="38"/>
    </row>
    <row r="304" spans="1:11" ht="15.75" customHeight="1">
      <c r="A304" s="39"/>
      <c r="B304" s="40"/>
      <c r="H304" s="38"/>
      <c r="K304" s="38"/>
    </row>
    <row r="305" spans="1:11" ht="15.75" customHeight="1">
      <c r="A305" s="39"/>
      <c r="B305" s="40"/>
      <c r="H305" s="38"/>
      <c r="K305" s="38"/>
    </row>
    <row r="306" spans="1:11" ht="15.75" customHeight="1">
      <c r="A306" s="39"/>
      <c r="B306" s="40"/>
      <c r="H306" s="38"/>
      <c r="K306" s="38"/>
    </row>
    <row r="307" spans="1:11" ht="15.75" customHeight="1">
      <c r="A307" s="39"/>
      <c r="B307" s="40"/>
      <c r="H307" s="38"/>
      <c r="K307" s="38"/>
    </row>
    <row r="308" spans="1:11" ht="15.75" customHeight="1">
      <c r="A308" s="39"/>
      <c r="B308" s="40"/>
      <c r="H308" s="38"/>
      <c r="K308" s="38"/>
    </row>
    <row r="309" spans="1:11" ht="15.75" customHeight="1">
      <c r="A309" s="39"/>
      <c r="B309" s="40"/>
      <c r="H309" s="38"/>
      <c r="K309" s="38"/>
    </row>
    <row r="310" spans="1:11" ht="15.75" customHeight="1">
      <c r="A310" s="39"/>
      <c r="B310" s="40"/>
      <c r="H310" s="38"/>
      <c r="K310" s="38"/>
    </row>
    <row r="311" spans="1:11" ht="15.75" customHeight="1">
      <c r="A311" s="39"/>
      <c r="B311" s="40"/>
      <c r="H311" s="38"/>
      <c r="K311" s="38"/>
    </row>
    <row r="312" spans="1:11" ht="15.75" customHeight="1">
      <c r="A312" s="39"/>
      <c r="B312" s="40"/>
      <c r="H312" s="38"/>
      <c r="K312" s="38"/>
    </row>
    <row r="313" spans="1:11" ht="15.75" customHeight="1">
      <c r="A313" s="39"/>
      <c r="B313" s="40"/>
      <c r="H313" s="38"/>
      <c r="K313" s="38"/>
    </row>
    <row r="314" spans="1:11" ht="15.75" customHeight="1">
      <c r="A314" s="39"/>
      <c r="B314" s="40"/>
      <c r="H314" s="38"/>
      <c r="K314" s="38"/>
    </row>
    <row r="315" spans="1:11" ht="15.75" customHeight="1">
      <c r="A315" s="39"/>
      <c r="B315" s="40"/>
      <c r="H315" s="38"/>
      <c r="K315" s="38"/>
    </row>
    <row r="316" spans="1:11" ht="15.75" customHeight="1">
      <c r="A316" s="39"/>
      <c r="B316" s="40"/>
      <c r="H316" s="38"/>
      <c r="K316" s="38"/>
    </row>
    <row r="317" spans="1:11" ht="15.75" customHeight="1">
      <c r="A317" s="39"/>
      <c r="B317" s="40"/>
      <c r="H317" s="38"/>
      <c r="K317" s="38"/>
    </row>
    <row r="318" spans="1:11" ht="15.75" customHeight="1">
      <c r="A318" s="39"/>
      <c r="B318" s="40"/>
      <c r="H318" s="38"/>
      <c r="K318" s="38"/>
    </row>
    <row r="319" spans="1:11" ht="15.75" customHeight="1">
      <c r="A319" s="39"/>
      <c r="B319" s="40"/>
      <c r="H319" s="38"/>
      <c r="K319" s="38"/>
    </row>
    <row r="320" spans="1:11" ht="15.75" customHeight="1">
      <c r="A320" s="39"/>
      <c r="B320" s="40"/>
      <c r="H320" s="38"/>
      <c r="K320" s="38"/>
    </row>
    <row r="321" spans="1:11" ht="15.75" customHeight="1">
      <c r="A321" s="39"/>
      <c r="B321" s="40"/>
      <c r="H321" s="38"/>
      <c r="K321" s="38"/>
    </row>
    <row r="322" spans="1:11" ht="15.75" customHeight="1">
      <c r="A322" s="39"/>
      <c r="B322" s="40"/>
      <c r="H322" s="38"/>
      <c r="K322" s="38"/>
    </row>
    <row r="323" spans="1:11" ht="15.75" customHeight="1">
      <c r="A323" s="39"/>
      <c r="B323" s="40"/>
      <c r="H323" s="38"/>
      <c r="K323" s="38"/>
    </row>
    <row r="324" spans="1:11" ht="15.75" customHeight="1">
      <c r="A324" s="39"/>
      <c r="B324" s="40"/>
      <c r="H324" s="38"/>
      <c r="K324" s="38"/>
    </row>
    <row r="325" spans="1:11" ht="15.75" customHeight="1">
      <c r="A325" s="39"/>
      <c r="B325" s="40"/>
      <c r="H325" s="38"/>
      <c r="K325" s="38"/>
    </row>
    <row r="326" spans="1:11" ht="15.75" customHeight="1">
      <c r="A326" s="39"/>
      <c r="B326" s="40"/>
      <c r="H326" s="38"/>
      <c r="K326" s="38"/>
    </row>
    <row r="327" spans="1:11" ht="15.75" customHeight="1">
      <c r="A327" s="39"/>
      <c r="B327" s="40"/>
      <c r="H327" s="38"/>
      <c r="K327" s="38"/>
    </row>
    <row r="328" spans="1:11" ht="15.75" customHeight="1">
      <c r="A328" s="39"/>
      <c r="B328" s="40"/>
      <c r="H328" s="38"/>
      <c r="K328" s="38"/>
    </row>
    <row r="329" spans="1:11" ht="15.75" customHeight="1">
      <c r="A329" s="39"/>
      <c r="B329" s="40"/>
      <c r="H329" s="38"/>
      <c r="K329" s="38"/>
    </row>
    <row r="330" spans="1:11" ht="15.75" customHeight="1">
      <c r="A330" s="39"/>
      <c r="B330" s="40"/>
      <c r="H330" s="38"/>
      <c r="K330" s="38"/>
    </row>
    <row r="331" spans="1:11" ht="15.75" customHeight="1">
      <c r="A331" s="39"/>
      <c r="B331" s="40"/>
      <c r="H331" s="38"/>
      <c r="K331" s="38"/>
    </row>
    <row r="332" spans="1:11" ht="15.75" customHeight="1">
      <c r="A332" s="39"/>
      <c r="B332" s="40"/>
      <c r="H332" s="38"/>
      <c r="K332" s="38"/>
    </row>
    <row r="333" spans="1:11" ht="15.75" customHeight="1">
      <c r="A333" s="39"/>
      <c r="B333" s="40"/>
      <c r="H333" s="38"/>
      <c r="K333" s="38"/>
    </row>
    <row r="334" spans="1:11" ht="15.75" customHeight="1">
      <c r="A334" s="39"/>
      <c r="B334" s="40"/>
      <c r="H334" s="38"/>
      <c r="K334" s="38"/>
    </row>
    <row r="335" spans="1:11" ht="15.75" customHeight="1">
      <c r="A335" s="39"/>
      <c r="B335" s="40"/>
      <c r="H335" s="38"/>
      <c r="K335" s="38"/>
    </row>
    <row r="336" spans="1:11" ht="15.75" customHeight="1">
      <c r="A336" s="39"/>
      <c r="B336" s="40"/>
      <c r="H336" s="38"/>
      <c r="K336" s="38"/>
    </row>
    <row r="337" spans="1:11" ht="15.75" customHeight="1">
      <c r="A337" s="39"/>
      <c r="B337" s="40"/>
      <c r="H337" s="38"/>
      <c r="K337" s="38"/>
    </row>
    <row r="338" spans="1:11" ht="15.75" customHeight="1">
      <c r="A338" s="39"/>
      <c r="B338" s="40"/>
      <c r="H338" s="38"/>
      <c r="K338" s="38"/>
    </row>
    <row r="339" spans="1:11" ht="15.75" customHeight="1">
      <c r="A339" s="39"/>
      <c r="B339" s="40"/>
      <c r="H339" s="38"/>
      <c r="K339" s="38"/>
    </row>
    <row r="340" spans="1:11" ht="15.75" customHeight="1">
      <c r="A340" s="39"/>
      <c r="B340" s="40"/>
      <c r="H340" s="38"/>
      <c r="K340" s="38"/>
    </row>
    <row r="341" spans="1:11" ht="15.75" customHeight="1">
      <c r="A341" s="39"/>
      <c r="B341" s="40"/>
      <c r="H341" s="38"/>
      <c r="K341" s="38"/>
    </row>
    <row r="342" spans="1:11" ht="15.75" customHeight="1">
      <c r="A342" s="39"/>
      <c r="B342" s="40"/>
      <c r="H342" s="38"/>
      <c r="K342" s="38"/>
    </row>
    <row r="343" spans="1:11" ht="15.75" customHeight="1">
      <c r="A343" s="39"/>
      <c r="B343" s="40"/>
      <c r="H343" s="38"/>
      <c r="K343" s="38"/>
    </row>
    <row r="344" spans="1:11" ht="15.75" customHeight="1">
      <c r="A344" s="39"/>
      <c r="B344" s="40"/>
      <c r="H344" s="38"/>
      <c r="K344" s="38"/>
    </row>
    <row r="345" spans="1:11" ht="15.75" customHeight="1">
      <c r="A345" s="39"/>
      <c r="B345" s="40"/>
      <c r="H345" s="38"/>
      <c r="K345" s="38"/>
    </row>
    <row r="346" spans="1:11" ht="15.75" customHeight="1">
      <c r="A346" s="39"/>
      <c r="B346" s="40"/>
      <c r="H346" s="38"/>
      <c r="K346" s="38"/>
    </row>
    <row r="347" spans="1:11" ht="15.75" customHeight="1">
      <c r="A347" s="39"/>
      <c r="B347" s="40"/>
      <c r="H347" s="38"/>
      <c r="K347" s="38"/>
    </row>
    <row r="348" spans="1:11" ht="15.75" customHeight="1">
      <c r="A348" s="39"/>
      <c r="B348" s="40"/>
      <c r="H348" s="38"/>
      <c r="K348" s="38"/>
    </row>
    <row r="349" spans="1:11" ht="15.75" customHeight="1">
      <c r="A349" s="39"/>
      <c r="B349" s="40"/>
      <c r="H349" s="38"/>
      <c r="K349" s="38"/>
    </row>
    <row r="350" spans="1:11" ht="15.75" customHeight="1">
      <c r="A350" s="39"/>
      <c r="B350" s="40"/>
      <c r="H350" s="38"/>
      <c r="K350" s="38"/>
    </row>
    <row r="351" spans="1:11" ht="15.75" customHeight="1">
      <c r="A351" s="39"/>
      <c r="B351" s="40"/>
      <c r="H351" s="38"/>
      <c r="K351" s="38"/>
    </row>
    <row r="352" spans="1:11" ht="15.75" customHeight="1">
      <c r="A352" s="39"/>
      <c r="B352" s="40"/>
      <c r="H352" s="38"/>
      <c r="K352" s="38"/>
    </row>
    <row r="353" spans="1:11" ht="15.75" customHeight="1">
      <c r="A353" s="39"/>
      <c r="B353" s="40"/>
      <c r="H353" s="38"/>
      <c r="K353" s="38"/>
    </row>
    <row r="354" spans="1:11" ht="15.75" customHeight="1">
      <c r="A354" s="39"/>
      <c r="B354" s="40"/>
      <c r="H354" s="38"/>
      <c r="K354" s="38"/>
    </row>
    <row r="355" spans="1:11" ht="15.75" customHeight="1">
      <c r="A355" s="39"/>
      <c r="B355" s="40"/>
      <c r="H355" s="38"/>
      <c r="K355" s="38"/>
    </row>
    <row r="356" spans="1:11" ht="15.75" customHeight="1">
      <c r="A356" s="39"/>
      <c r="B356" s="40"/>
      <c r="H356" s="38"/>
      <c r="K356" s="38"/>
    </row>
    <row r="357" spans="1:11" ht="15.75" customHeight="1">
      <c r="A357" s="39"/>
      <c r="B357" s="40"/>
      <c r="H357" s="38"/>
      <c r="K357" s="38"/>
    </row>
    <row r="358" spans="1:11" ht="15.75" customHeight="1">
      <c r="A358" s="39"/>
      <c r="B358" s="40"/>
      <c r="H358" s="38"/>
      <c r="K358" s="38"/>
    </row>
    <row r="359" spans="1:11" ht="15.75" customHeight="1">
      <c r="A359" s="39"/>
      <c r="B359" s="40"/>
      <c r="H359" s="38"/>
      <c r="K359" s="38"/>
    </row>
    <row r="360" spans="1:11" ht="15.75" customHeight="1">
      <c r="A360" s="39"/>
      <c r="B360" s="40"/>
      <c r="H360" s="38"/>
      <c r="K360" s="38"/>
    </row>
    <row r="361" spans="1:11" ht="15.75" customHeight="1">
      <c r="A361" s="39"/>
      <c r="B361" s="40"/>
      <c r="H361" s="38"/>
      <c r="K361" s="38"/>
    </row>
    <row r="362" spans="1:11" ht="15.75" customHeight="1">
      <c r="A362" s="39"/>
      <c r="B362" s="40"/>
      <c r="H362" s="38"/>
      <c r="K362" s="38"/>
    </row>
    <row r="363" spans="1:11" ht="15.75" customHeight="1">
      <c r="A363" s="39"/>
      <c r="B363" s="40"/>
      <c r="H363" s="38"/>
      <c r="K363" s="38"/>
    </row>
    <row r="364" spans="1:11" ht="15.75" customHeight="1">
      <c r="A364" s="39"/>
      <c r="B364" s="40"/>
      <c r="H364" s="38"/>
      <c r="K364" s="38"/>
    </row>
    <row r="365" spans="1:11" ht="15.75" customHeight="1">
      <c r="A365" s="39"/>
      <c r="B365" s="40"/>
      <c r="H365" s="38"/>
      <c r="K365" s="38"/>
    </row>
    <row r="366" spans="1:11" ht="15.75" customHeight="1">
      <c r="A366" s="39"/>
      <c r="B366" s="40"/>
      <c r="H366" s="38"/>
      <c r="K366" s="38"/>
    </row>
    <row r="367" spans="1:11" ht="15.75" customHeight="1">
      <c r="A367" s="39"/>
      <c r="B367" s="40"/>
      <c r="H367" s="38"/>
      <c r="K367" s="38"/>
    </row>
    <row r="368" spans="1:11" ht="15.75" customHeight="1">
      <c r="A368" s="39"/>
      <c r="B368" s="40"/>
      <c r="H368" s="38"/>
      <c r="K368" s="38"/>
    </row>
    <row r="369" spans="1:11" ht="15.75" customHeight="1">
      <c r="A369" s="39"/>
      <c r="B369" s="40"/>
      <c r="H369" s="38"/>
      <c r="K369" s="38"/>
    </row>
    <row r="370" spans="1:11" ht="15.75" customHeight="1">
      <c r="A370" s="39"/>
      <c r="B370" s="40"/>
      <c r="H370" s="38"/>
      <c r="K370" s="38"/>
    </row>
    <row r="371" spans="1:11" ht="15.75" customHeight="1">
      <c r="A371" s="39"/>
      <c r="B371" s="40"/>
      <c r="H371" s="38"/>
      <c r="K371" s="38"/>
    </row>
    <row r="372" spans="1:11" ht="15.75" customHeight="1">
      <c r="A372" s="39"/>
      <c r="B372" s="40"/>
      <c r="H372" s="38"/>
      <c r="K372" s="38"/>
    </row>
    <row r="373" spans="1:11" ht="15.75" customHeight="1">
      <c r="A373" s="39"/>
      <c r="B373" s="40"/>
      <c r="H373" s="38"/>
      <c r="K373" s="38"/>
    </row>
    <row r="374" spans="1:11" ht="15.75" customHeight="1">
      <c r="A374" s="39"/>
      <c r="B374" s="40"/>
      <c r="H374" s="38"/>
      <c r="K374" s="38"/>
    </row>
    <row r="375" spans="1:11" ht="15.75" customHeight="1">
      <c r="A375" s="39"/>
      <c r="B375" s="40"/>
      <c r="H375" s="38"/>
      <c r="K375" s="38"/>
    </row>
    <row r="376" spans="1:11" ht="15.75" customHeight="1">
      <c r="A376" s="39"/>
      <c r="B376" s="40"/>
      <c r="H376" s="38"/>
      <c r="K376" s="38"/>
    </row>
    <row r="377" spans="1:11" ht="15.75" customHeight="1">
      <c r="A377" s="39"/>
      <c r="B377" s="40"/>
      <c r="H377" s="38"/>
      <c r="K377" s="38"/>
    </row>
    <row r="378" spans="1:11" ht="15.75" customHeight="1">
      <c r="A378" s="39"/>
      <c r="B378" s="40"/>
      <c r="H378" s="38"/>
      <c r="K378" s="38"/>
    </row>
    <row r="379" spans="1:11" ht="15.75" customHeight="1">
      <c r="A379" s="39"/>
      <c r="B379" s="40"/>
      <c r="H379" s="38"/>
      <c r="K379" s="38"/>
    </row>
    <row r="380" spans="1:11" ht="15.75" customHeight="1">
      <c r="A380" s="39"/>
      <c r="B380" s="40"/>
      <c r="H380" s="38"/>
      <c r="K380" s="38"/>
    </row>
    <row r="381" spans="1:11" ht="15.75" customHeight="1">
      <c r="A381" s="39"/>
      <c r="B381" s="40"/>
      <c r="H381" s="38"/>
      <c r="K381" s="38"/>
    </row>
    <row r="382" spans="1:11" ht="15.75" customHeight="1">
      <c r="A382" s="39"/>
      <c r="B382" s="40"/>
      <c r="H382" s="38"/>
      <c r="K382" s="38"/>
    </row>
    <row r="383" spans="1:11" ht="15.75" customHeight="1">
      <c r="A383" s="39"/>
      <c r="B383" s="40"/>
      <c r="H383" s="38"/>
      <c r="K383" s="38"/>
    </row>
    <row r="384" spans="1:11" ht="15.75" customHeight="1">
      <c r="A384" s="39"/>
      <c r="B384" s="40"/>
      <c r="H384" s="38"/>
      <c r="K384" s="38"/>
    </row>
    <row r="385" spans="1:11" ht="15.75" customHeight="1">
      <c r="A385" s="39"/>
      <c r="B385" s="40"/>
      <c r="H385" s="38"/>
      <c r="K385" s="38"/>
    </row>
    <row r="386" spans="1:11" ht="15.75" customHeight="1">
      <c r="A386" s="39"/>
      <c r="B386" s="40"/>
      <c r="H386" s="38"/>
      <c r="K386" s="38"/>
    </row>
    <row r="387" spans="1:11" ht="15.75" customHeight="1">
      <c r="A387" s="39"/>
      <c r="B387" s="40"/>
      <c r="H387" s="38"/>
      <c r="K387" s="38"/>
    </row>
    <row r="388" spans="1:11" ht="15.75" customHeight="1">
      <c r="A388" s="39"/>
      <c r="B388" s="40"/>
      <c r="H388" s="38"/>
      <c r="K388" s="38"/>
    </row>
    <row r="389" spans="1:11" ht="15.75" customHeight="1">
      <c r="A389" s="39"/>
      <c r="B389" s="40"/>
      <c r="H389" s="38"/>
      <c r="K389" s="38"/>
    </row>
    <row r="390" spans="1:11" ht="15.75" customHeight="1">
      <c r="A390" s="39"/>
      <c r="B390" s="40"/>
      <c r="H390" s="38"/>
      <c r="K390" s="38"/>
    </row>
    <row r="391" spans="1:11" ht="15.75" customHeight="1">
      <c r="A391" s="39"/>
      <c r="B391" s="40"/>
      <c r="H391" s="38"/>
      <c r="K391" s="38"/>
    </row>
    <row r="392" spans="1:11" ht="15.75" customHeight="1">
      <c r="A392" s="39"/>
      <c r="B392" s="40"/>
      <c r="H392" s="38"/>
      <c r="K392" s="38"/>
    </row>
    <row r="393" spans="1:11" ht="15.75" customHeight="1">
      <c r="A393" s="39"/>
      <c r="B393" s="40"/>
      <c r="H393" s="38"/>
      <c r="K393" s="38"/>
    </row>
    <row r="394" spans="1:11" ht="15.75" customHeight="1">
      <c r="A394" s="39"/>
      <c r="B394" s="40"/>
      <c r="H394" s="38"/>
      <c r="K394" s="38"/>
    </row>
    <row r="395" spans="1:11" ht="15.75" customHeight="1">
      <c r="A395" s="39"/>
      <c r="B395" s="40"/>
      <c r="H395" s="38"/>
      <c r="K395" s="38"/>
    </row>
    <row r="396" spans="1:11" ht="15.75" customHeight="1">
      <c r="A396" s="39"/>
      <c r="B396" s="40"/>
      <c r="H396" s="38"/>
      <c r="K396" s="38"/>
    </row>
    <row r="397" spans="1:11" ht="15.75" customHeight="1">
      <c r="A397" s="39"/>
      <c r="B397" s="40"/>
      <c r="H397" s="38"/>
      <c r="K397" s="38"/>
    </row>
    <row r="398" spans="1:11" ht="15.75" customHeight="1">
      <c r="A398" s="39"/>
      <c r="B398" s="40"/>
      <c r="H398" s="38"/>
      <c r="K398" s="38"/>
    </row>
    <row r="399" spans="1:11" ht="15.75" customHeight="1">
      <c r="A399" s="39"/>
      <c r="B399" s="40"/>
      <c r="H399" s="38"/>
      <c r="K399" s="38"/>
    </row>
    <row r="400" spans="1:11" ht="15.75" customHeight="1">
      <c r="A400" s="39"/>
      <c r="B400" s="40"/>
      <c r="H400" s="38"/>
      <c r="K400" s="38"/>
    </row>
    <row r="401" spans="1:11" ht="15.75" customHeight="1">
      <c r="A401" s="39"/>
      <c r="B401" s="40"/>
      <c r="H401" s="38"/>
      <c r="K401" s="38"/>
    </row>
    <row r="402" spans="1:11" ht="15.75" customHeight="1">
      <c r="A402" s="39"/>
      <c r="B402" s="40"/>
      <c r="H402" s="38"/>
      <c r="K402" s="38"/>
    </row>
    <row r="403" spans="1:11" ht="15.75" customHeight="1">
      <c r="A403" s="39"/>
      <c r="B403" s="40"/>
      <c r="H403" s="38"/>
      <c r="K403" s="38"/>
    </row>
    <row r="404" spans="1:11" ht="15.75" customHeight="1">
      <c r="A404" s="39"/>
      <c r="B404" s="40"/>
      <c r="H404" s="38"/>
      <c r="K404" s="38"/>
    </row>
    <row r="405" spans="1:11" ht="15.75" customHeight="1">
      <c r="A405" s="39"/>
      <c r="B405" s="40"/>
      <c r="H405" s="38"/>
      <c r="K405" s="38"/>
    </row>
    <row r="406" spans="1:11" ht="15.75" customHeight="1">
      <c r="A406" s="39"/>
      <c r="B406" s="40"/>
      <c r="H406" s="38"/>
      <c r="K406" s="38"/>
    </row>
    <row r="407" spans="1:11" ht="15.75" customHeight="1">
      <c r="A407" s="39"/>
      <c r="B407" s="40"/>
      <c r="H407" s="38"/>
      <c r="K407" s="38"/>
    </row>
    <row r="408" spans="1:11" ht="15.75" customHeight="1">
      <c r="A408" s="39"/>
      <c r="B408" s="40"/>
      <c r="H408" s="38"/>
      <c r="K408" s="38"/>
    </row>
    <row r="409" spans="1:11" ht="15.75" customHeight="1">
      <c r="A409" s="39"/>
      <c r="B409" s="40"/>
      <c r="H409" s="38"/>
      <c r="K409" s="38"/>
    </row>
    <row r="410" spans="1:11" ht="15.75" customHeight="1">
      <c r="A410" s="39"/>
      <c r="B410" s="40"/>
      <c r="H410" s="38"/>
      <c r="K410" s="38"/>
    </row>
    <row r="411" spans="1:11" ht="15.75" customHeight="1">
      <c r="A411" s="39"/>
      <c r="B411" s="40"/>
      <c r="H411" s="38"/>
      <c r="K411" s="38"/>
    </row>
    <row r="412" spans="1:11" ht="15.75" customHeight="1">
      <c r="A412" s="39"/>
      <c r="B412" s="40"/>
      <c r="H412" s="38"/>
      <c r="K412" s="38"/>
    </row>
    <row r="413" spans="1:11" ht="15.75" customHeight="1">
      <c r="A413" s="39"/>
      <c r="B413" s="40"/>
      <c r="H413" s="38"/>
      <c r="K413" s="38"/>
    </row>
    <row r="414" spans="1:11" ht="15.75" customHeight="1">
      <c r="A414" s="39"/>
      <c r="B414" s="40"/>
      <c r="H414" s="38"/>
      <c r="K414" s="38"/>
    </row>
    <row r="415" spans="1:11" ht="15.75" customHeight="1">
      <c r="A415" s="39"/>
      <c r="B415" s="40"/>
      <c r="H415" s="38"/>
      <c r="K415" s="38"/>
    </row>
    <row r="416" spans="1:11" ht="15.75" customHeight="1">
      <c r="A416" s="39"/>
      <c r="B416" s="40"/>
      <c r="H416" s="38"/>
      <c r="K416" s="38"/>
    </row>
    <row r="417" spans="1:11" ht="15.75" customHeight="1">
      <c r="A417" s="39"/>
      <c r="B417" s="40"/>
      <c r="H417" s="38"/>
      <c r="K417" s="38"/>
    </row>
    <row r="418" spans="1:11" ht="15.75" customHeight="1">
      <c r="A418" s="39"/>
      <c r="B418" s="40"/>
      <c r="H418" s="38"/>
      <c r="K418" s="38"/>
    </row>
    <row r="419" spans="1:11" ht="15.75" customHeight="1">
      <c r="A419" s="39"/>
      <c r="B419" s="40"/>
      <c r="H419" s="38"/>
      <c r="K419" s="38"/>
    </row>
    <row r="420" spans="1:11" ht="15.75" customHeight="1">
      <c r="A420" s="39"/>
      <c r="B420" s="40"/>
      <c r="H420" s="38"/>
      <c r="K420" s="38"/>
    </row>
    <row r="421" spans="1:11" ht="15.75" customHeight="1">
      <c r="A421" s="39"/>
      <c r="B421" s="40"/>
      <c r="H421" s="38"/>
      <c r="K421" s="38"/>
    </row>
    <row r="422" spans="1:11" ht="15.75" customHeight="1">
      <c r="A422" s="39"/>
      <c r="B422" s="40"/>
      <c r="H422" s="38"/>
      <c r="K422" s="38"/>
    </row>
    <row r="423" spans="1:11" ht="15.75" customHeight="1">
      <c r="A423" s="39"/>
      <c r="B423" s="40"/>
      <c r="H423" s="38"/>
      <c r="K423" s="38"/>
    </row>
    <row r="424" spans="1:11" ht="15.75" customHeight="1">
      <c r="A424" s="39"/>
      <c r="B424" s="40"/>
      <c r="H424" s="38"/>
      <c r="K424" s="38"/>
    </row>
    <row r="425" spans="1:11" ht="15.75" customHeight="1">
      <c r="A425" s="39"/>
      <c r="B425" s="40"/>
      <c r="H425" s="38"/>
      <c r="K425" s="38"/>
    </row>
    <row r="426" spans="1:11" ht="15.75" customHeight="1">
      <c r="A426" s="39"/>
      <c r="B426" s="40"/>
      <c r="H426" s="38"/>
      <c r="K426" s="38"/>
    </row>
    <row r="427" spans="1:11" ht="15.75" customHeight="1">
      <c r="A427" s="39"/>
      <c r="B427" s="40"/>
      <c r="H427" s="38"/>
      <c r="K427" s="38"/>
    </row>
    <row r="428" spans="1:11" ht="15.75" customHeight="1">
      <c r="A428" s="39"/>
      <c r="B428" s="40"/>
      <c r="H428" s="38"/>
      <c r="K428" s="38"/>
    </row>
    <row r="429" spans="1:11" ht="15.75" customHeight="1">
      <c r="A429" s="39"/>
      <c r="B429" s="40"/>
      <c r="H429" s="38"/>
      <c r="K429" s="38"/>
    </row>
    <row r="430" spans="1:11" ht="15.75" customHeight="1">
      <c r="A430" s="39"/>
      <c r="B430" s="40"/>
      <c r="H430" s="38"/>
      <c r="K430" s="38"/>
    </row>
    <row r="431" spans="1:11" ht="15.75" customHeight="1">
      <c r="A431" s="39"/>
      <c r="B431" s="40"/>
      <c r="H431" s="38"/>
      <c r="K431" s="38"/>
    </row>
    <row r="432" spans="1:11" ht="15.75" customHeight="1">
      <c r="A432" s="39"/>
      <c r="B432" s="40"/>
      <c r="H432" s="38"/>
      <c r="K432" s="38"/>
    </row>
    <row r="433" spans="1:11" ht="15.75" customHeight="1">
      <c r="A433" s="39"/>
      <c r="B433" s="40"/>
      <c r="H433" s="38"/>
      <c r="K433" s="38"/>
    </row>
    <row r="434" spans="1:11" ht="15.75" customHeight="1">
      <c r="A434" s="39"/>
      <c r="B434" s="40"/>
      <c r="H434" s="38"/>
      <c r="K434" s="38"/>
    </row>
    <row r="435" spans="1:11" ht="15.75" customHeight="1">
      <c r="A435" s="39"/>
      <c r="B435" s="40"/>
      <c r="H435" s="38"/>
      <c r="K435" s="38"/>
    </row>
    <row r="436" spans="1:11" ht="15.75" customHeight="1">
      <c r="A436" s="39"/>
      <c r="B436" s="40"/>
      <c r="H436" s="38"/>
      <c r="K436" s="38"/>
    </row>
    <row r="437" spans="1:11" ht="15.75" customHeight="1">
      <c r="A437" s="39"/>
      <c r="B437" s="40"/>
      <c r="H437" s="38"/>
      <c r="K437" s="38"/>
    </row>
    <row r="438" spans="1:11" ht="15.75" customHeight="1">
      <c r="A438" s="39"/>
      <c r="B438" s="40"/>
      <c r="H438" s="38"/>
      <c r="K438" s="38"/>
    </row>
    <row r="439" spans="1:11" ht="15.75" customHeight="1">
      <c r="A439" s="39"/>
      <c r="B439" s="40"/>
      <c r="H439" s="38"/>
      <c r="K439" s="38"/>
    </row>
    <row r="440" spans="1:11" ht="15.75" customHeight="1">
      <c r="A440" s="39"/>
      <c r="B440" s="40"/>
      <c r="H440" s="38"/>
      <c r="K440" s="38"/>
    </row>
    <row r="441" spans="1:11" ht="15.75" customHeight="1">
      <c r="A441" s="39"/>
      <c r="B441" s="40"/>
      <c r="H441" s="38"/>
      <c r="K441" s="38"/>
    </row>
    <row r="442" spans="1:11" ht="15.75" customHeight="1">
      <c r="A442" s="39"/>
      <c r="B442" s="40"/>
      <c r="H442" s="38"/>
      <c r="K442" s="38"/>
    </row>
    <row r="443" spans="1:11" ht="15.75" customHeight="1">
      <c r="A443" s="39"/>
      <c r="B443" s="40"/>
      <c r="H443" s="38"/>
      <c r="K443" s="38"/>
    </row>
    <row r="444" spans="1:11" ht="15.75" customHeight="1">
      <c r="A444" s="39"/>
      <c r="B444" s="40"/>
      <c r="H444" s="38"/>
      <c r="K444" s="38"/>
    </row>
    <row r="445" spans="1:11" ht="15.75" customHeight="1">
      <c r="A445" s="39"/>
      <c r="B445" s="40"/>
      <c r="H445" s="38"/>
      <c r="K445" s="38"/>
    </row>
    <row r="446" spans="1:11" ht="15.75" customHeight="1">
      <c r="A446" s="39"/>
      <c r="B446" s="40"/>
      <c r="H446" s="38"/>
      <c r="K446" s="38"/>
    </row>
    <row r="447" spans="1:11" ht="15.75" customHeight="1">
      <c r="A447" s="39"/>
      <c r="B447" s="40"/>
      <c r="H447" s="38"/>
      <c r="K447" s="38"/>
    </row>
    <row r="448" spans="1:11" ht="15.75" customHeight="1">
      <c r="A448" s="39"/>
      <c r="B448" s="40"/>
      <c r="H448" s="38"/>
      <c r="K448" s="38"/>
    </row>
    <row r="449" spans="1:11" ht="15.75" customHeight="1">
      <c r="A449" s="39"/>
      <c r="B449" s="40"/>
      <c r="H449" s="38"/>
      <c r="K449" s="38"/>
    </row>
    <row r="450" spans="1:11" ht="15.75" customHeight="1">
      <c r="A450" s="39"/>
      <c r="B450" s="40"/>
      <c r="H450" s="38"/>
      <c r="K450" s="38"/>
    </row>
    <row r="451" spans="1:11" ht="15.75" customHeight="1">
      <c r="A451" s="39"/>
      <c r="B451" s="40"/>
      <c r="H451" s="38"/>
      <c r="K451" s="38"/>
    </row>
    <row r="452" spans="1:11" ht="15.75" customHeight="1">
      <c r="A452" s="39"/>
      <c r="B452" s="40"/>
      <c r="H452" s="38"/>
      <c r="K452" s="38"/>
    </row>
    <row r="453" spans="1:11" ht="15.75" customHeight="1">
      <c r="A453" s="39"/>
      <c r="B453" s="40"/>
      <c r="H453" s="38"/>
      <c r="K453" s="38"/>
    </row>
    <row r="454" spans="1:11" ht="15.75" customHeight="1">
      <c r="A454" s="39"/>
      <c r="B454" s="40"/>
      <c r="H454" s="38"/>
      <c r="K454" s="38"/>
    </row>
    <row r="455" spans="1:11" ht="15.75" customHeight="1">
      <c r="A455" s="39"/>
      <c r="B455" s="40"/>
      <c r="H455" s="38"/>
      <c r="K455" s="38"/>
    </row>
    <row r="456" spans="1:11" ht="15.75" customHeight="1">
      <c r="A456" s="39"/>
      <c r="B456" s="40"/>
      <c r="H456" s="38"/>
      <c r="K456" s="38"/>
    </row>
    <row r="457" spans="1:11" ht="15.75" customHeight="1">
      <c r="A457" s="39"/>
      <c r="B457" s="40"/>
      <c r="H457" s="38"/>
      <c r="K457" s="38"/>
    </row>
    <row r="458" spans="1:11" ht="15.75" customHeight="1">
      <c r="A458" s="39"/>
      <c r="B458" s="40"/>
      <c r="H458" s="38"/>
      <c r="K458" s="38"/>
    </row>
    <row r="459" spans="1:11" ht="15.75" customHeight="1">
      <c r="A459" s="39"/>
      <c r="B459" s="40"/>
      <c r="H459" s="38"/>
      <c r="K459" s="38"/>
    </row>
    <row r="460" spans="1:11" ht="15.75" customHeight="1">
      <c r="A460" s="39"/>
      <c r="B460" s="40"/>
      <c r="H460" s="38"/>
      <c r="K460" s="38"/>
    </row>
    <row r="461" spans="1:11" ht="15.75" customHeight="1">
      <c r="A461" s="39"/>
      <c r="B461" s="40"/>
      <c r="H461" s="38"/>
      <c r="K461" s="38"/>
    </row>
    <row r="462" spans="1:11" ht="15.75" customHeight="1">
      <c r="A462" s="39"/>
      <c r="B462" s="40"/>
      <c r="H462" s="38"/>
      <c r="K462" s="38"/>
    </row>
    <row r="463" spans="1:11" ht="15.75" customHeight="1">
      <c r="A463" s="39"/>
      <c r="B463" s="40"/>
      <c r="H463" s="38"/>
      <c r="K463" s="38"/>
    </row>
    <row r="464" spans="1:11" ht="15.75" customHeight="1">
      <c r="A464" s="39"/>
      <c r="B464" s="40"/>
      <c r="H464" s="38"/>
      <c r="K464" s="38"/>
    </row>
    <row r="465" spans="1:11" ht="15.75" customHeight="1">
      <c r="A465" s="39"/>
      <c r="B465" s="40"/>
      <c r="H465" s="38"/>
      <c r="K465" s="38"/>
    </row>
    <row r="466" spans="1:11" ht="15.75" customHeight="1">
      <c r="A466" s="39"/>
      <c r="B466" s="40"/>
      <c r="H466" s="38"/>
      <c r="K466" s="38"/>
    </row>
    <row r="467" spans="1:11" ht="15.75" customHeight="1">
      <c r="A467" s="39"/>
      <c r="B467" s="40"/>
      <c r="H467" s="38"/>
      <c r="K467" s="38"/>
    </row>
    <row r="468" spans="1:11" ht="15.75" customHeight="1">
      <c r="A468" s="39"/>
      <c r="B468" s="40"/>
      <c r="H468" s="38"/>
      <c r="K468" s="38"/>
    </row>
    <row r="469" spans="1:11" ht="15.75" customHeight="1">
      <c r="A469" s="39"/>
      <c r="B469" s="40"/>
      <c r="H469" s="38"/>
      <c r="K469" s="38"/>
    </row>
    <row r="470" spans="1:11" ht="15.75" customHeight="1">
      <c r="A470" s="39"/>
      <c r="B470" s="40"/>
      <c r="H470" s="38"/>
      <c r="K470" s="38"/>
    </row>
    <row r="471" spans="1:11" ht="15.75" customHeight="1">
      <c r="A471" s="39"/>
      <c r="B471" s="40"/>
      <c r="H471" s="38"/>
      <c r="K471" s="38"/>
    </row>
    <row r="472" spans="1:11" ht="15.75" customHeight="1">
      <c r="A472" s="39"/>
      <c r="B472" s="40"/>
      <c r="H472" s="38"/>
      <c r="K472" s="38"/>
    </row>
    <row r="473" spans="1:11" ht="15.75" customHeight="1">
      <c r="A473" s="39"/>
      <c r="B473" s="40"/>
      <c r="H473" s="38"/>
      <c r="K473" s="38"/>
    </row>
    <row r="474" spans="1:11" ht="15.75" customHeight="1">
      <c r="A474" s="39"/>
      <c r="B474" s="40"/>
      <c r="H474" s="38"/>
      <c r="K474" s="38"/>
    </row>
    <row r="475" spans="1:11" ht="15.75" customHeight="1">
      <c r="A475" s="39"/>
      <c r="B475" s="40"/>
      <c r="H475" s="38"/>
      <c r="K475" s="38"/>
    </row>
    <row r="476" spans="1:11" ht="15.75" customHeight="1">
      <c r="A476" s="39"/>
      <c r="B476" s="40"/>
      <c r="H476" s="38"/>
      <c r="K476" s="38"/>
    </row>
    <row r="477" spans="1:11" ht="15.75" customHeight="1">
      <c r="A477" s="39"/>
      <c r="B477" s="40"/>
      <c r="H477" s="38"/>
      <c r="K477" s="38"/>
    </row>
    <row r="478" spans="1:11" ht="15.75" customHeight="1">
      <c r="A478" s="39"/>
      <c r="B478" s="40"/>
      <c r="H478" s="38"/>
      <c r="K478" s="38"/>
    </row>
    <row r="479" spans="1:11" ht="15.75" customHeight="1">
      <c r="A479" s="39"/>
      <c r="B479" s="40"/>
      <c r="H479" s="38"/>
      <c r="K479" s="38"/>
    </row>
    <row r="480" spans="1:11" ht="15.75" customHeight="1">
      <c r="A480" s="39"/>
      <c r="B480" s="40"/>
      <c r="H480" s="38"/>
      <c r="K480" s="38"/>
    </row>
    <row r="481" spans="1:11" ht="15.75" customHeight="1">
      <c r="A481" s="39"/>
      <c r="B481" s="40"/>
      <c r="H481" s="38"/>
      <c r="K481" s="38"/>
    </row>
    <row r="482" spans="1:11" ht="15.75" customHeight="1">
      <c r="A482" s="39"/>
      <c r="B482" s="40"/>
      <c r="H482" s="38"/>
      <c r="K482" s="38"/>
    </row>
    <row r="483" spans="1:11" ht="15.75" customHeight="1">
      <c r="A483" s="39"/>
      <c r="B483" s="40"/>
      <c r="H483" s="38"/>
      <c r="K483" s="38"/>
    </row>
    <row r="484" spans="1:11" ht="15.75" customHeight="1">
      <c r="A484" s="39"/>
      <c r="B484" s="40"/>
      <c r="H484" s="38"/>
      <c r="K484" s="38"/>
    </row>
    <row r="485" spans="1:11" ht="15.75" customHeight="1">
      <c r="A485" s="39"/>
      <c r="B485" s="40"/>
      <c r="H485" s="38"/>
      <c r="K485" s="38"/>
    </row>
    <row r="486" spans="1:11" ht="15.75" customHeight="1">
      <c r="A486" s="39"/>
      <c r="B486" s="40"/>
      <c r="H486" s="38"/>
      <c r="K486" s="38"/>
    </row>
    <row r="487" spans="1:11" ht="15.75" customHeight="1">
      <c r="A487" s="39"/>
      <c r="B487" s="40"/>
      <c r="H487" s="38"/>
      <c r="K487" s="38"/>
    </row>
    <row r="488" spans="1:11" ht="15.75" customHeight="1">
      <c r="A488" s="39"/>
      <c r="B488" s="40"/>
      <c r="H488" s="38"/>
      <c r="K488" s="38"/>
    </row>
    <row r="489" spans="1:11" ht="15.75" customHeight="1">
      <c r="A489" s="39"/>
      <c r="B489" s="40"/>
      <c r="H489" s="38"/>
      <c r="K489" s="38"/>
    </row>
    <row r="490" spans="1:11" ht="15.75" customHeight="1">
      <c r="A490" s="39"/>
      <c r="B490" s="40"/>
      <c r="H490" s="38"/>
      <c r="K490" s="38"/>
    </row>
    <row r="491" spans="1:11" ht="15.75" customHeight="1">
      <c r="A491" s="39"/>
      <c r="B491" s="40"/>
      <c r="H491" s="38"/>
      <c r="K491" s="38"/>
    </row>
    <row r="492" spans="1:11" ht="15.75" customHeight="1">
      <c r="A492" s="39"/>
      <c r="B492" s="40"/>
      <c r="H492" s="38"/>
      <c r="K492" s="38"/>
    </row>
    <row r="493" spans="1:11" ht="15.75" customHeight="1">
      <c r="A493" s="39"/>
      <c r="B493" s="40"/>
      <c r="H493" s="38"/>
      <c r="K493" s="38"/>
    </row>
    <row r="494" spans="1:11" ht="15.75" customHeight="1">
      <c r="A494" s="39"/>
      <c r="B494" s="40"/>
      <c r="H494" s="38"/>
      <c r="K494" s="38"/>
    </row>
    <row r="495" spans="1:11" ht="15.75" customHeight="1">
      <c r="A495" s="39"/>
      <c r="B495" s="40"/>
      <c r="H495" s="38"/>
      <c r="K495" s="38"/>
    </row>
    <row r="496" spans="1:11" ht="15.75" customHeight="1">
      <c r="A496" s="39"/>
      <c r="B496" s="40"/>
      <c r="H496" s="38"/>
      <c r="K496" s="38"/>
    </row>
    <row r="497" spans="1:11" ht="15.75" customHeight="1">
      <c r="A497" s="39"/>
      <c r="B497" s="40"/>
      <c r="H497" s="38"/>
      <c r="K497" s="38"/>
    </row>
    <row r="498" spans="1:11" ht="15.75" customHeight="1">
      <c r="A498" s="39"/>
      <c r="B498" s="40"/>
      <c r="H498" s="38"/>
      <c r="K498" s="38"/>
    </row>
    <row r="499" spans="1:11" ht="15.75" customHeight="1">
      <c r="A499" s="39"/>
      <c r="B499" s="40"/>
      <c r="H499" s="38"/>
      <c r="K499" s="38"/>
    </row>
    <row r="500" spans="1:11" ht="15.75" customHeight="1">
      <c r="A500" s="39"/>
      <c r="B500" s="40"/>
      <c r="H500" s="38"/>
      <c r="K500" s="38"/>
    </row>
    <row r="501" spans="1:11" ht="15.75" customHeight="1">
      <c r="A501" s="39"/>
      <c r="B501" s="40"/>
      <c r="H501" s="38"/>
      <c r="K501" s="38"/>
    </row>
    <row r="502" spans="1:11" ht="15.75" customHeight="1">
      <c r="A502" s="39"/>
      <c r="B502" s="40"/>
      <c r="H502" s="38"/>
      <c r="K502" s="38"/>
    </row>
    <row r="503" spans="1:11" ht="15.75" customHeight="1">
      <c r="A503" s="39"/>
      <c r="B503" s="40"/>
      <c r="H503" s="38"/>
      <c r="K503" s="38"/>
    </row>
    <row r="504" spans="1:11" ht="15.75" customHeight="1">
      <c r="A504" s="39"/>
      <c r="B504" s="40"/>
      <c r="H504" s="38"/>
      <c r="K504" s="38"/>
    </row>
    <row r="505" spans="1:11" ht="15.75" customHeight="1">
      <c r="A505" s="39"/>
      <c r="B505" s="40"/>
      <c r="H505" s="38"/>
      <c r="K505" s="38"/>
    </row>
    <row r="506" spans="1:11" ht="15.75" customHeight="1">
      <c r="A506" s="39"/>
      <c r="B506" s="40"/>
      <c r="H506" s="38"/>
      <c r="K506" s="38"/>
    </row>
    <row r="507" spans="1:11" ht="15.75" customHeight="1">
      <c r="A507" s="39"/>
      <c r="B507" s="40"/>
      <c r="H507" s="38"/>
      <c r="K507" s="38"/>
    </row>
    <row r="508" spans="1:11" ht="15.75" customHeight="1">
      <c r="A508" s="39"/>
      <c r="B508" s="40"/>
      <c r="H508" s="38"/>
      <c r="K508" s="38"/>
    </row>
    <row r="509" spans="1:11" ht="15.75" customHeight="1">
      <c r="A509" s="39"/>
      <c r="B509" s="40"/>
      <c r="H509" s="38"/>
      <c r="K509" s="38"/>
    </row>
    <row r="510" spans="1:11" ht="15.75" customHeight="1">
      <c r="A510" s="39"/>
      <c r="B510" s="40"/>
      <c r="H510" s="38"/>
      <c r="K510" s="38"/>
    </row>
    <row r="511" spans="1:11" ht="15.75" customHeight="1">
      <c r="A511" s="39"/>
      <c r="B511" s="40"/>
      <c r="H511" s="38"/>
      <c r="K511" s="38"/>
    </row>
    <row r="512" spans="1:11" ht="15.75" customHeight="1">
      <c r="A512" s="39"/>
      <c r="B512" s="40"/>
      <c r="H512" s="38"/>
      <c r="K512" s="38"/>
    </row>
    <row r="513" spans="1:11" ht="15.75" customHeight="1">
      <c r="A513" s="39"/>
      <c r="B513" s="40"/>
      <c r="H513" s="38"/>
      <c r="K513" s="38"/>
    </row>
    <row r="514" spans="1:11" ht="15.75" customHeight="1">
      <c r="A514" s="39"/>
      <c r="B514" s="40"/>
      <c r="H514" s="38"/>
      <c r="K514" s="38"/>
    </row>
    <row r="515" spans="1:11" ht="15.75" customHeight="1">
      <c r="A515" s="39"/>
      <c r="B515" s="40"/>
      <c r="H515" s="38"/>
      <c r="K515" s="38"/>
    </row>
    <row r="516" spans="1:11" ht="15.75" customHeight="1">
      <c r="A516" s="39"/>
      <c r="B516" s="40"/>
      <c r="H516" s="38"/>
      <c r="K516" s="38"/>
    </row>
    <row r="517" spans="1:11" ht="15.75" customHeight="1">
      <c r="A517" s="39"/>
      <c r="B517" s="40"/>
      <c r="H517" s="38"/>
      <c r="K517" s="38"/>
    </row>
    <row r="518" spans="1:11" ht="15.75" customHeight="1">
      <c r="A518" s="39"/>
      <c r="B518" s="40"/>
      <c r="H518" s="38"/>
      <c r="K518" s="38"/>
    </row>
    <row r="519" spans="1:11" ht="15.75" customHeight="1">
      <c r="A519" s="39"/>
      <c r="B519" s="40"/>
      <c r="H519" s="38"/>
      <c r="K519" s="38"/>
    </row>
    <row r="520" spans="1:11" ht="15.75" customHeight="1">
      <c r="A520" s="39"/>
      <c r="B520" s="40"/>
      <c r="H520" s="38"/>
      <c r="K520" s="38"/>
    </row>
    <row r="521" spans="1:11" ht="15.75" customHeight="1">
      <c r="A521" s="39"/>
      <c r="B521" s="40"/>
      <c r="H521" s="38"/>
      <c r="K521" s="38"/>
    </row>
    <row r="522" spans="1:11" ht="15.75" customHeight="1">
      <c r="A522" s="39"/>
      <c r="B522" s="40"/>
      <c r="H522" s="38"/>
      <c r="K522" s="38"/>
    </row>
    <row r="523" spans="1:11" ht="15.75" customHeight="1">
      <c r="A523" s="39"/>
      <c r="B523" s="40"/>
      <c r="H523" s="38"/>
      <c r="K523" s="38"/>
    </row>
    <row r="524" spans="1:11" ht="15.75" customHeight="1">
      <c r="A524" s="39"/>
      <c r="B524" s="40"/>
      <c r="H524" s="38"/>
      <c r="K524" s="38"/>
    </row>
    <row r="525" spans="1:11" ht="15.75" customHeight="1">
      <c r="A525" s="39"/>
      <c r="B525" s="40"/>
      <c r="H525" s="38"/>
      <c r="K525" s="38"/>
    </row>
    <row r="526" spans="1:11" ht="15.75" customHeight="1">
      <c r="A526" s="39"/>
      <c r="B526" s="40"/>
      <c r="H526" s="38"/>
      <c r="K526" s="38"/>
    </row>
    <row r="527" spans="1:11" ht="15.75" customHeight="1">
      <c r="A527" s="39"/>
      <c r="B527" s="40"/>
      <c r="H527" s="38"/>
      <c r="K527" s="38"/>
    </row>
    <row r="528" spans="1:11" ht="15.75" customHeight="1">
      <c r="A528" s="39"/>
      <c r="B528" s="40"/>
      <c r="H528" s="38"/>
      <c r="K528" s="38"/>
    </row>
    <row r="529" spans="1:11" ht="15.75" customHeight="1">
      <c r="A529" s="39"/>
      <c r="B529" s="40"/>
      <c r="H529" s="38"/>
      <c r="K529" s="38"/>
    </row>
    <row r="530" spans="1:11" ht="15.75" customHeight="1">
      <c r="A530" s="39"/>
      <c r="B530" s="40"/>
      <c r="H530" s="38"/>
      <c r="K530" s="38"/>
    </row>
    <row r="531" spans="1:11" ht="15.75" customHeight="1">
      <c r="A531" s="39"/>
      <c r="B531" s="40"/>
      <c r="H531" s="38"/>
      <c r="K531" s="38"/>
    </row>
    <row r="532" spans="1:11" ht="15.75" customHeight="1">
      <c r="A532" s="39"/>
      <c r="B532" s="40"/>
      <c r="H532" s="38"/>
      <c r="K532" s="38"/>
    </row>
    <row r="533" spans="1:11" ht="15.75" customHeight="1">
      <c r="A533" s="39"/>
      <c r="B533" s="40"/>
      <c r="H533" s="38"/>
      <c r="K533" s="38"/>
    </row>
    <row r="534" spans="1:11" ht="15.75" customHeight="1">
      <c r="A534" s="39"/>
      <c r="B534" s="40"/>
      <c r="H534" s="38"/>
      <c r="K534" s="38"/>
    </row>
    <row r="535" spans="1:11" ht="15.75" customHeight="1">
      <c r="A535" s="39"/>
      <c r="B535" s="40"/>
      <c r="H535" s="38"/>
      <c r="K535" s="38"/>
    </row>
    <row r="536" spans="1:11" ht="15.75" customHeight="1">
      <c r="A536" s="39"/>
      <c r="B536" s="40"/>
      <c r="H536" s="38"/>
      <c r="K536" s="38"/>
    </row>
    <row r="537" spans="1:11" ht="15.75" customHeight="1">
      <c r="A537" s="39"/>
      <c r="B537" s="40"/>
      <c r="H537" s="38"/>
      <c r="K537" s="38"/>
    </row>
    <row r="538" spans="1:11" ht="15.75" customHeight="1">
      <c r="A538" s="39"/>
      <c r="B538" s="40"/>
      <c r="H538" s="38"/>
      <c r="K538" s="38"/>
    </row>
    <row r="539" spans="1:11" ht="15.75" customHeight="1">
      <c r="A539" s="39"/>
      <c r="B539" s="40"/>
      <c r="H539" s="38"/>
      <c r="K539" s="38"/>
    </row>
    <row r="540" spans="1:11" ht="15.75" customHeight="1">
      <c r="A540" s="39"/>
      <c r="B540" s="40"/>
      <c r="H540" s="38"/>
      <c r="K540" s="38"/>
    </row>
    <row r="541" spans="1:11" ht="15.75" customHeight="1">
      <c r="A541" s="39"/>
      <c r="B541" s="40"/>
      <c r="H541" s="38"/>
      <c r="K541" s="38"/>
    </row>
    <row r="542" spans="1:11" ht="15.75" customHeight="1">
      <c r="A542" s="39"/>
      <c r="B542" s="40"/>
      <c r="H542" s="38"/>
      <c r="K542" s="38"/>
    </row>
    <row r="543" spans="1:11" ht="15.75" customHeight="1">
      <c r="A543" s="39"/>
      <c r="B543" s="40"/>
      <c r="H543" s="38"/>
      <c r="K543" s="38"/>
    </row>
    <row r="544" spans="1:11" ht="15.75" customHeight="1">
      <c r="A544" s="39"/>
      <c r="B544" s="40"/>
      <c r="H544" s="38"/>
      <c r="K544" s="38"/>
    </row>
    <row r="545" spans="1:11" ht="15.75" customHeight="1">
      <c r="A545" s="39"/>
      <c r="B545" s="40"/>
      <c r="H545" s="38"/>
      <c r="K545" s="38"/>
    </row>
    <row r="546" spans="1:11" ht="15.75" customHeight="1">
      <c r="A546" s="39"/>
      <c r="B546" s="40"/>
      <c r="H546" s="38"/>
      <c r="K546" s="38"/>
    </row>
    <row r="547" spans="1:11" ht="15.75" customHeight="1">
      <c r="A547" s="39"/>
      <c r="B547" s="40"/>
      <c r="H547" s="38"/>
      <c r="K547" s="38"/>
    </row>
    <row r="548" spans="1:11" ht="15.75" customHeight="1">
      <c r="A548" s="39"/>
      <c r="B548" s="40"/>
      <c r="H548" s="38"/>
      <c r="K548" s="38"/>
    </row>
    <row r="549" spans="1:11" ht="15.75" customHeight="1">
      <c r="A549" s="39"/>
      <c r="B549" s="40"/>
      <c r="H549" s="38"/>
      <c r="K549" s="38"/>
    </row>
    <row r="550" spans="1:11" ht="15.75" customHeight="1">
      <c r="A550" s="39"/>
      <c r="B550" s="40"/>
      <c r="H550" s="38"/>
      <c r="K550" s="38"/>
    </row>
    <row r="551" spans="1:11" ht="15.75" customHeight="1">
      <c r="A551" s="39"/>
      <c r="B551" s="40"/>
      <c r="H551" s="38"/>
      <c r="K551" s="38"/>
    </row>
    <row r="552" spans="1:11" ht="15.75" customHeight="1">
      <c r="A552" s="39"/>
      <c r="B552" s="40"/>
      <c r="H552" s="38"/>
      <c r="K552" s="38"/>
    </row>
    <row r="553" spans="1:11" ht="15.75" customHeight="1">
      <c r="A553" s="39"/>
      <c r="B553" s="40"/>
      <c r="H553" s="38"/>
      <c r="K553" s="38"/>
    </row>
    <row r="554" spans="1:11" ht="15.75" customHeight="1">
      <c r="A554" s="39"/>
      <c r="B554" s="40"/>
      <c r="H554" s="38"/>
      <c r="K554" s="38"/>
    </row>
    <row r="555" spans="1:11" ht="15.75" customHeight="1">
      <c r="A555" s="39"/>
      <c r="B555" s="40"/>
      <c r="H555" s="38"/>
      <c r="K555" s="38"/>
    </row>
    <row r="556" spans="1:11" ht="15.75" customHeight="1">
      <c r="A556" s="39"/>
      <c r="B556" s="40"/>
      <c r="H556" s="38"/>
      <c r="K556" s="38"/>
    </row>
    <row r="557" spans="1:11" ht="15.75" customHeight="1">
      <c r="A557" s="39"/>
      <c r="B557" s="40"/>
      <c r="H557" s="38"/>
      <c r="K557" s="38"/>
    </row>
    <row r="558" spans="1:11" ht="15.75" customHeight="1">
      <c r="A558" s="39"/>
      <c r="B558" s="40"/>
      <c r="H558" s="38"/>
      <c r="K558" s="38"/>
    </row>
    <row r="559" spans="1:11" ht="15.75" customHeight="1">
      <c r="A559" s="39"/>
      <c r="B559" s="40"/>
      <c r="H559" s="38"/>
      <c r="K559" s="38"/>
    </row>
    <row r="560" spans="1:11" ht="15.75" customHeight="1">
      <c r="A560" s="39"/>
      <c r="B560" s="40"/>
      <c r="H560" s="38"/>
      <c r="K560" s="38"/>
    </row>
    <row r="561" spans="1:11" ht="15.75" customHeight="1">
      <c r="A561" s="39"/>
      <c r="B561" s="40"/>
      <c r="H561" s="38"/>
      <c r="K561" s="38"/>
    </row>
    <row r="562" spans="1:11" ht="15.75" customHeight="1">
      <c r="A562" s="39"/>
      <c r="B562" s="40"/>
      <c r="H562" s="38"/>
      <c r="K562" s="38"/>
    </row>
    <row r="563" spans="1:11" ht="15.75" customHeight="1">
      <c r="A563" s="39"/>
      <c r="B563" s="40"/>
      <c r="H563" s="38"/>
      <c r="K563" s="38"/>
    </row>
    <row r="564" spans="1:11" ht="15.75" customHeight="1">
      <c r="A564" s="39"/>
      <c r="B564" s="40"/>
      <c r="H564" s="38"/>
      <c r="K564" s="38"/>
    </row>
    <row r="565" spans="1:11" ht="15.75" customHeight="1">
      <c r="A565" s="39"/>
      <c r="B565" s="40"/>
      <c r="H565" s="38"/>
      <c r="K565" s="38"/>
    </row>
    <row r="566" spans="1:11" ht="15.75" customHeight="1">
      <c r="A566" s="39"/>
      <c r="B566" s="40"/>
      <c r="H566" s="38"/>
      <c r="K566" s="38"/>
    </row>
    <row r="567" spans="1:11" ht="15.75" customHeight="1">
      <c r="A567" s="39"/>
      <c r="B567" s="40"/>
      <c r="H567" s="38"/>
      <c r="K567" s="38"/>
    </row>
    <row r="568" spans="1:11" ht="15.75" customHeight="1">
      <c r="A568" s="39"/>
      <c r="B568" s="40"/>
      <c r="H568" s="38"/>
      <c r="K568" s="38"/>
    </row>
    <row r="569" spans="1:11" ht="15.75" customHeight="1">
      <c r="A569" s="39"/>
      <c r="B569" s="40"/>
      <c r="H569" s="38"/>
      <c r="K569" s="38"/>
    </row>
    <row r="570" spans="1:11" ht="15.75" customHeight="1">
      <c r="A570" s="39"/>
      <c r="B570" s="40"/>
      <c r="H570" s="38"/>
      <c r="K570" s="38"/>
    </row>
    <row r="571" spans="1:11" ht="15.75" customHeight="1">
      <c r="A571" s="39"/>
      <c r="B571" s="40"/>
      <c r="H571" s="38"/>
      <c r="K571" s="38"/>
    </row>
    <row r="572" spans="1:11" ht="15.75" customHeight="1">
      <c r="A572" s="39"/>
      <c r="B572" s="40"/>
      <c r="H572" s="38"/>
      <c r="K572" s="38"/>
    </row>
    <row r="573" spans="1:11" ht="15.75" customHeight="1">
      <c r="A573" s="39"/>
      <c r="B573" s="40"/>
      <c r="H573" s="38"/>
      <c r="K573" s="38"/>
    </row>
    <row r="574" spans="1:11" ht="15.75" customHeight="1">
      <c r="A574" s="39"/>
      <c r="B574" s="40"/>
      <c r="H574" s="38"/>
      <c r="K574" s="38"/>
    </row>
    <row r="575" spans="1:11" ht="15.75" customHeight="1">
      <c r="A575" s="39"/>
      <c r="B575" s="40"/>
      <c r="H575" s="38"/>
      <c r="K575" s="38"/>
    </row>
    <row r="576" spans="1:11" ht="15.75" customHeight="1">
      <c r="A576" s="39"/>
      <c r="B576" s="40"/>
      <c r="H576" s="38"/>
      <c r="K576" s="38"/>
    </row>
    <row r="577" spans="1:11" ht="15.75" customHeight="1">
      <c r="A577" s="39"/>
      <c r="B577" s="40"/>
      <c r="H577" s="38"/>
      <c r="K577" s="38"/>
    </row>
    <row r="578" spans="1:11" ht="15.75" customHeight="1">
      <c r="A578" s="39"/>
      <c r="B578" s="40"/>
      <c r="H578" s="38"/>
      <c r="K578" s="38"/>
    </row>
    <row r="579" spans="1:11" ht="15.75" customHeight="1">
      <c r="A579" s="39"/>
      <c r="B579" s="40"/>
      <c r="H579" s="38"/>
      <c r="K579" s="38"/>
    </row>
    <row r="580" spans="1:11" ht="15.75" customHeight="1">
      <c r="A580" s="39"/>
      <c r="B580" s="40"/>
      <c r="H580" s="38"/>
      <c r="K580" s="38"/>
    </row>
    <row r="581" spans="1:11" ht="15.75" customHeight="1">
      <c r="A581" s="39"/>
      <c r="B581" s="40"/>
      <c r="H581" s="38"/>
      <c r="K581" s="38"/>
    </row>
    <row r="582" spans="1:11" ht="15.75" customHeight="1">
      <c r="A582" s="39"/>
      <c r="B582" s="40"/>
      <c r="H582" s="38"/>
      <c r="K582" s="38"/>
    </row>
    <row r="583" spans="1:11" ht="15.75" customHeight="1">
      <c r="A583" s="39"/>
      <c r="B583" s="40"/>
      <c r="H583" s="38"/>
      <c r="K583" s="38"/>
    </row>
    <row r="584" spans="1:11" ht="15.75" customHeight="1">
      <c r="A584" s="39"/>
      <c r="B584" s="40"/>
      <c r="H584" s="38"/>
      <c r="K584" s="38"/>
    </row>
    <row r="585" spans="1:11" ht="15.75" customHeight="1">
      <c r="A585" s="39"/>
      <c r="B585" s="40"/>
      <c r="H585" s="38"/>
      <c r="K585" s="38"/>
    </row>
    <row r="586" spans="1:11" ht="15.75" customHeight="1">
      <c r="A586" s="39"/>
      <c r="B586" s="40"/>
      <c r="H586" s="38"/>
      <c r="K586" s="38"/>
    </row>
    <row r="587" spans="1:11" ht="15.75" customHeight="1">
      <c r="A587" s="39"/>
      <c r="B587" s="40"/>
      <c r="H587" s="38"/>
      <c r="K587" s="38"/>
    </row>
    <row r="588" spans="1:11" ht="15.75" customHeight="1">
      <c r="A588" s="39"/>
      <c r="B588" s="40"/>
      <c r="H588" s="38"/>
      <c r="K588" s="38"/>
    </row>
    <row r="589" spans="1:11" ht="15.75" customHeight="1">
      <c r="A589" s="39"/>
      <c r="B589" s="40"/>
      <c r="H589" s="38"/>
      <c r="K589" s="38"/>
    </row>
    <row r="590" spans="1:11" ht="15.75" customHeight="1">
      <c r="A590" s="39"/>
      <c r="B590" s="40"/>
      <c r="H590" s="38"/>
      <c r="K590" s="38"/>
    </row>
    <row r="591" spans="1:11" ht="15.75" customHeight="1">
      <c r="A591" s="39"/>
      <c r="B591" s="40"/>
      <c r="H591" s="38"/>
      <c r="K591" s="38"/>
    </row>
    <row r="592" spans="1:11" ht="15.75" customHeight="1">
      <c r="A592" s="39"/>
      <c r="B592" s="40"/>
      <c r="H592" s="38"/>
      <c r="K592" s="38"/>
    </row>
    <row r="593" spans="1:11" ht="15.75" customHeight="1">
      <c r="A593" s="39"/>
      <c r="B593" s="40"/>
      <c r="H593" s="38"/>
      <c r="K593" s="38"/>
    </row>
    <row r="594" spans="1:11" ht="15.75" customHeight="1">
      <c r="A594" s="39"/>
      <c r="B594" s="40"/>
      <c r="H594" s="38"/>
      <c r="K594" s="38"/>
    </row>
    <row r="595" spans="1:11" ht="15.75" customHeight="1">
      <c r="A595" s="39"/>
      <c r="B595" s="40"/>
      <c r="H595" s="38"/>
      <c r="K595" s="38"/>
    </row>
    <row r="596" spans="1:11" ht="15.75" customHeight="1">
      <c r="A596" s="39"/>
      <c r="B596" s="40"/>
      <c r="H596" s="38"/>
      <c r="K596" s="38"/>
    </row>
    <row r="597" spans="1:11" ht="15.75" customHeight="1">
      <c r="A597" s="39"/>
      <c r="B597" s="40"/>
      <c r="H597" s="38"/>
      <c r="K597" s="38"/>
    </row>
    <row r="598" spans="1:11" ht="15.75" customHeight="1">
      <c r="A598" s="39"/>
      <c r="B598" s="40"/>
      <c r="H598" s="38"/>
      <c r="K598" s="38"/>
    </row>
    <row r="599" spans="1:11" ht="15.75" customHeight="1">
      <c r="A599" s="39"/>
      <c r="B599" s="40"/>
      <c r="H599" s="38"/>
      <c r="K599" s="38"/>
    </row>
    <row r="600" spans="1:11" ht="15.75" customHeight="1">
      <c r="A600" s="39"/>
      <c r="B600" s="40"/>
      <c r="H600" s="38"/>
      <c r="K600" s="38"/>
    </row>
    <row r="601" spans="1:11" ht="15.75" customHeight="1">
      <c r="A601" s="39"/>
      <c r="B601" s="40"/>
      <c r="H601" s="38"/>
      <c r="K601" s="38"/>
    </row>
    <row r="602" spans="1:11" ht="15.75" customHeight="1">
      <c r="A602" s="39"/>
      <c r="B602" s="40"/>
      <c r="H602" s="38"/>
      <c r="K602" s="38"/>
    </row>
    <row r="603" spans="1:11" ht="15.75" customHeight="1">
      <c r="A603" s="39"/>
      <c r="B603" s="40"/>
      <c r="H603" s="38"/>
      <c r="K603" s="38"/>
    </row>
    <row r="604" spans="1:11" ht="15.75" customHeight="1">
      <c r="A604" s="39"/>
      <c r="B604" s="40"/>
      <c r="H604" s="38"/>
      <c r="K604" s="38"/>
    </row>
    <row r="605" spans="1:11" ht="15.75" customHeight="1">
      <c r="A605" s="39"/>
      <c r="B605" s="40"/>
      <c r="H605" s="38"/>
      <c r="K605" s="38"/>
    </row>
    <row r="606" spans="1:11" ht="15.75" customHeight="1">
      <c r="A606" s="39"/>
      <c r="B606" s="40"/>
      <c r="H606" s="38"/>
      <c r="K606" s="38"/>
    </row>
    <row r="607" spans="1:11" ht="15.75" customHeight="1">
      <c r="A607" s="39"/>
      <c r="B607" s="40"/>
      <c r="H607" s="38"/>
      <c r="K607" s="38"/>
    </row>
    <row r="608" spans="1:11" ht="15.75" customHeight="1">
      <c r="A608" s="39"/>
      <c r="B608" s="40"/>
      <c r="H608" s="38"/>
      <c r="K608" s="38"/>
    </row>
    <row r="609" spans="1:11" ht="15.75" customHeight="1">
      <c r="A609" s="39"/>
      <c r="B609" s="40"/>
      <c r="H609" s="38"/>
      <c r="K609" s="38"/>
    </row>
    <row r="610" spans="1:11" ht="15.75" customHeight="1">
      <c r="A610" s="39"/>
      <c r="B610" s="40"/>
      <c r="H610" s="38"/>
      <c r="K610" s="38"/>
    </row>
    <row r="611" spans="1:11" ht="15.75" customHeight="1">
      <c r="A611" s="39"/>
      <c r="B611" s="40"/>
      <c r="H611" s="38"/>
      <c r="K611" s="38"/>
    </row>
    <row r="612" spans="1:11" ht="15.75" customHeight="1">
      <c r="A612" s="39"/>
      <c r="B612" s="40"/>
      <c r="H612" s="38"/>
      <c r="K612" s="38"/>
    </row>
    <row r="613" spans="1:11" ht="15.75" customHeight="1">
      <c r="A613" s="39"/>
      <c r="B613" s="40"/>
      <c r="H613" s="38"/>
      <c r="K613" s="38"/>
    </row>
    <row r="614" spans="1:11" ht="15.75" customHeight="1">
      <c r="A614" s="39"/>
      <c r="B614" s="40"/>
      <c r="H614" s="38"/>
      <c r="K614" s="38"/>
    </row>
    <row r="615" spans="1:11" ht="15.75" customHeight="1">
      <c r="A615" s="39"/>
      <c r="B615" s="40"/>
      <c r="H615" s="38"/>
      <c r="K615" s="38"/>
    </row>
    <row r="616" spans="1:11" ht="15.75" customHeight="1">
      <c r="A616" s="39"/>
      <c r="B616" s="40"/>
      <c r="H616" s="38"/>
      <c r="K616" s="38"/>
    </row>
    <row r="617" spans="1:11" ht="15.75" customHeight="1">
      <c r="A617" s="39"/>
      <c r="B617" s="40"/>
      <c r="H617" s="38"/>
      <c r="K617" s="38"/>
    </row>
    <row r="618" spans="1:11" ht="15.75" customHeight="1">
      <c r="A618" s="39"/>
      <c r="B618" s="40"/>
      <c r="H618" s="38"/>
      <c r="K618" s="38"/>
    </row>
    <row r="619" spans="1:11" ht="15.75" customHeight="1">
      <c r="A619" s="39"/>
      <c r="B619" s="40"/>
      <c r="H619" s="38"/>
      <c r="K619" s="38"/>
    </row>
    <row r="620" spans="1:11" ht="15.75" customHeight="1">
      <c r="A620" s="39"/>
      <c r="B620" s="40"/>
      <c r="H620" s="38"/>
      <c r="K620" s="38"/>
    </row>
    <row r="621" spans="1:11" ht="15.75" customHeight="1">
      <c r="A621" s="39"/>
      <c r="B621" s="40"/>
      <c r="H621" s="38"/>
      <c r="K621" s="38"/>
    </row>
    <row r="622" spans="1:11" ht="15.75" customHeight="1">
      <c r="A622" s="39"/>
      <c r="B622" s="40"/>
      <c r="H622" s="38"/>
      <c r="K622" s="38"/>
    </row>
    <row r="623" spans="1:11" ht="15.75" customHeight="1">
      <c r="A623" s="39"/>
      <c r="B623" s="40"/>
      <c r="H623" s="38"/>
      <c r="K623" s="38"/>
    </row>
    <row r="624" spans="1:11" ht="15.75" customHeight="1">
      <c r="A624" s="39"/>
      <c r="B624" s="40"/>
      <c r="H624" s="38"/>
      <c r="K624" s="38"/>
    </row>
    <row r="625" spans="1:11" ht="15.75" customHeight="1">
      <c r="A625" s="39"/>
      <c r="B625" s="40"/>
      <c r="H625" s="38"/>
      <c r="K625" s="38"/>
    </row>
    <row r="626" spans="1:11" ht="15.75" customHeight="1">
      <c r="A626" s="39"/>
      <c r="B626" s="40"/>
      <c r="H626" s="38"/>
      <c r="K626" s="38"/>
    </row>
    <row r="627" spans="1:11" ht="15.75" customHeight="1">
      <c r="A627" s="39"/>
      <c r="B627" s="40"/>
      <c r="H627" s="38"/>
      <c r="K627" s="38"/>
    </row>
    <row r="628" spans="1:11" ht="15.75" customHeight="1">
      <c r="A628" s="39"/>
      <c r="B628" s="40"/>
      <c r="H628" s="38"/>
      <c r="K628" s="38"/>
    </row>
    <row r="629" spans="1:11" ht="15.75" customHeight="1">
      <c r="A629" s="39"/>
      <c r="B629" s="40"/>
      <c r="H629" s="38"/>
      <c r="K629" s="38"/>
    </row>
    <row r="630" spans="1:11" ht="15.75" customHeight="1">
      <c r="A630" s="39"/>
      <c r="B630" s="40"/>
      <c r="H630" s="38"/>
      <c r="K630" s="38"/>
    </row>
    <row r="631" spans="1:11" ht="15.75" customHeight="1">
      <c r="A631" s="39"/>
      <c r="B631" s="40"/>
      <c r="H631" s="38"/>
      <c r="K631" s="38"/>
    </row>
    <row r="632" spans="1:11" ht="15.75" customHeight="1">
      <c r="A632" s="39"/>
      <c r="B632" s="40"/>
      <c r="H632" s="38"/>
      <c r="K632" s="38"/>
    </row>
    <row r="633" spans="1:11" ht="15.75" customHeight="1">
      <c r="A633" s="39"/>
      <c r="B633" s="40"/>
      <c r="H633" s="38"/>
      <c r="K633" s="38"/>
    </row>
    <row r="634" spans="1:11" ht="15.75" customHeight="1">
      <c r="A634" s="39"/>
      <c r="B634" s="40"/>
      <c r="H634" s="38"/>
      <c r="K634" s="38"/>
    </row>
    <row r="635" spans="1:11" ht="15.75" customHeight="1">
      <c r="A635" s="39"/>
      <c r="B635" s="40"/>
      <c r="H635" s="38"/>
      <c r="K635" s="38"/>
    </row>
    <row r="636" spans="1:11" ht="15.75" customHeight="1">
      <c r="A636" s="39"/>
      <c r="B636" s="40"/>
      <c r="H636" s="38"/>
      <c r="K636" s="38"/>
    </row>
    <row r="637" spans="1:11" ht="15.75" customHeight="1">
      <c r="A637" s="39"/>
      <c r="B637" s="40"/>
      <c r="H637" s="38"/>
      <c r="K637" s="38"/>
    </row>
    <row r="638" spans="1:11" ht="15.75" customHeight="1">
      <c r="A638" s="39"/>
      <c r="B638" s="40"/>
      <c r="H638" s="38"/>
      <c r="K638" s="38"/>
    </row>
    <row r="639" spans="1:11" ht="15.75" customHeight="1">
      <c r="A639" s="39"/>
      <c r="B639" s="40"/>
      <c r="H639" s="38"/>
      <c r="K639" s="38"/>
    </row>
    <row r="640" spans="1:11" ht="15.75" customHeight="1">
      <c r="A640" s="39"/>
      <c r="B640" s="40"/>
      <c r="H640" s="38"/>
      <c r="K640" s="38"/>
    </row>
    <row r="641" spans="1:11" ht="15.75" customHeight="1">
      <c r="A641" s="39"/>
      <c r="B641" s="40"/>
      <c r="H641" s="38"/>
      <c r="K641" s="38"/>
    </row>
    <row r="642" spans="1:11" ht="15.75" customHeight="1">
      <c r="A642" s="39"/>
      <c r="B642" s="40"/>
      <c r="H642" s="38"/>
      <c r="K642" s="38"/>
    </row>
    <row r="643" spans="1:11" ht="15.75" customHeight="1">
      <c r="A643" s="39"/>
      <c r="B643" s="40"/>
      <c r="H643" s="38"/>
      <c r="K643" s="38"/>
    </row>
    <row r="644" spans="1:11" ht="15.75" customHeight="1">
      <c r="A644" s="39"/>
      <c r="B644" s="40"/>
      <c r="H644" s="38"/>
      <c r="K644" s="38"/>
    </row>
    <row r="645" spans="1:11" ht="15.75" customHeight="1">
      <c r="A645" s="39"/>
      <c r="B645" s="40"/>
      <c r="H645" s="38"/>
      <c r="K645" s="38"/>
    </row>
    <row r="646" spans="1:11" ht="15.75" customHeight="1">
      <c r="A646" s="39"/>
      <c r="B646" s="40"/>
      <c r="H646" s="38"/>
      <c r="K646" s="38"/>
    </row>
    <row r="647" spans="1:11" ht="15.75" customHeight="1">
      <c r="A647" s="39"/>
      <c r="B647" s="40"/>
      <c r="H647" s="38"/>
      <c r="K647" s="38"/>
    </row>
    <row r="648" spans="1:11" ht="15.75" customHeight="1">
      <c r="A648" s="39"/>
      <c r="B648" s="40"/>
      <c r="H648" s="38"/>
      <c r="K648" s="38"/>
    </row>
    <row r="649" spans="1:11" ht="15.75" customHeight="1">
      <c r="A649" s="39"/>
      <c r="B649" s="40"/>
      <c r="H649" s="38"/>
      <c r="K649" s="38"/>
    </row>
    <row r="650" spans="1:11" ht="15.75" customHeight="1">
      <c r="A650" s="39"/>
      <c r="B650" s="40"/>
      <c r="H650" s="38"/>
      <c r="K650" s="38"/>
    </row>
    <row r="651" spans="1:11" ht="15.75" customHeight="1">
      <c r="A651" s="39"/>
      <c r="B651" s="40"/>
      <c r="H651" s="38"/>
      <c r="K651" s="38"/>
    </row>
    <row r="652" spans="1:11" ht="15.75" customHeight="1">
      <c r="A652" s="39"/>
      <c r="B652" s="40"/>
      <c r="H652" s="38"/>
      <c r="K652" s="38"/>
    </row>
    <row r="653" spans="1:11" ht="15.75" customHeight="1">
      <c r="A653" s="39"/>
      <c r="B653" s="40"/>
      <c r="H653" s="38"/>
      <c r="K653" s="38"/>
    </row>
    <row r="654" spans="1:11" ht="15.75" customHeight="1">
      <c r="A654" s="39"/>
      <c r="B654" s="40"/>
      <c r="H654" s="38"/>
      <c r="K654" s="38"/>
    </row>
    <row r="655" spans="1:11" ht="15.75" customHeight="1">
      <c r="A655" s="39"/>
      <c r="B655" s="40"/>
      <c r="H655" s="38"/>
      <c r="K655" s="38"/>
    </row>
    <row r="656" spans="1:11" ht="15.75" customHeight="1">
      <c r="A656" s="39"/>
      <c r="B656" s="40"/>
      <c r="H656" s="38"/>
      <c r="K656" s="38"/>
    </row>
    <row r="657" spans="1:11" ht="15.75" customHeight="1">
      <c r="A657" s="39"/>
      <c r="B657" s="40"/>
      <c r="H657" s="38"/>
      <c r="K657" s="38"/>
    </row>
    <row r="658" spans="1:11" ht="15.75" customHeight="1">
      <c r="A658" s="39"/>
      <c r="B658" s="40"/>
      <c r="H658" s="38"/>
      <c r="K658" s="38"/>
    </row>
    <row r="659" spans="1:11" ht="15.75" customHeight="1">
      <c r="A659" s="39"/>
      <c r="B659" s="40"/>
      <c r="H659" s="38"/>
      <c r="K659" s="38"/>
    </row>
    <row r="660" spans="1:11" ht="15.75" customHeight="1">
      <c r="A660" s="39"/>
      <c r="B660" s="40"/>
      <c r="H660" s="38"/>
      <c r="K660" s="38"/>
    </row>
    <row r="661" spans="1:11" ht="15.75" customHeight="1">
      <c r="A661" s="39"/>
      <c r="B661" s="40"/>
      <c r="H661" s="38"/>
      <c r="K661" s="38"/>
    </row>
    <row r="662" spans="1:11" ht="15.75" customHeight="1">
      <c r="A662" s="39"/>
      <c r="B662" s="40"/>
      <c r="H662" s="38"/>
      <c r="K662" s="38"/>
    </row>
    <row r="663" spans="1:11" ht="15.75" customHeight="1">
      <c r="A663" s="39"/>
      <c r="B663" s="40"/>
      <c r="H663" s="38"/>
      <c r="K663" s="38"/>
    </row>
    <row r="664" spans="1:11" ht="15.75" customHeight="1">
      <c r="A664" s="39"/>
      <c r="B664" s="40"/>
      <c r="H664" s="38"/>
      <c r="K664" s="38"/>
    </row>
    <row r="665" spans="1:11" ht="15.75" customHeight="1">
      <c r="A665" s="39"/>
      <c r="B665" s="40"/>
      <c r="H665" s="38"/>
      <c r="K665" s="38"/>
    </row>
    <row r="666" spans="1:11" ht="15.75" customHeight="1">
      <c r="A666" s="39"/>
      <c r="B666" s="40"/>
      <c r="H666" s="38"/>
      <c r="K666" s="38"/>
    </row>
    <row r="667" spans="1:11" ht="15.75" customHeight="1">
      <c r="A667" s="39"/>
      <c r="B667" s="40"/>
      <c r="H667" s="38"/>
      <c r="K667" s="38"/>
    </row>
    <row r="668" spans="1:11" ht="15.75" customHeight="1">
      <c r="A668" s="39"/>
      <c r="B668" s="40"/>
      <c r="H668" s="38"/>
      <c r="K668" s="38"/>
    </row>
    <row r="669" spans="1:11" ht="15.75" customHeight="1">
      <c r="A669" s="39"/>
      <c r="B669" s="40"/>
      <c r="H669" s="38"/>
      <c r="K669" s="38"/>
    </row>
    <row r="670" spans="1:11" ht="15.75" customHeight="1">
      <c r="A670" s="39"/>
      <c r="B670" s="40"/>
      <c r="H670" s="38"/>
      <c r="K670" s="38"/>
    </row>
    <row r="671" spans="1:11" ht="15.75" customHeight="1">
      <c r="A671" s="39"/>
      <c r="B671" s="40"/>
      <c r="H671" s="38"/>
      <c r="K671" s="38"/>
    </row>
    <row r="672" spans="1:11" ht="15.75" customHeight="1">
      <c r="A672" s="39"/>
      <c r="B672" s="40"/>
      <c r="H672" s="38"/>
      <c r="K672" s="38"/>
    </row>
    <row r="673" spans="1:11" ht="15.75" customHeight="1">
      <c r="A673" s="39"/>
      <c r="B673" s="40"/>
      <c r="H673" s="38"/>
      <c r="K673" s="38"/>
    </row>
    <row r="674" spans="1:11" ht="15.75" customHeight="1">
      <c r="A674" s="39"/>
      <c r="B674" s="40"/>
      <c r="H674" s="38"/>
      <c r="K674" s="38"/>
    </row>
    <row r="675" spans="1:11" ht="15.75" customHeight="1">
      <c r="A675" s="39"/>
      <c r="B675" s="40"/>
      <c r="H675" s="38"/>
      <c r="K675" s="38"/>
    </row>
    <row r="676" spans="1:11" ht="15.75" customHeight="1">
      <c r="A676" s="39"/>
      <c r="B676" s="40"/>
      <c r="H676" s="38"/>
      <c r="K676" s="38"/>
    </row>
    <row r="677" spans="1:11" ht="15.75" customHeight="1">
      <c r="A677" s="39"/>
      <c r="B677" s="40"/>
      <c r="H677" s="38"/>
      <c r="K677" s="38"/>
    </row>
    <row r="678" spans="1:11" ht="15.75" customHeight="1">
      <c r="A678" s="39"/>
      <c r="B678" s="40"/>
      <c r="H678" s="38"/>
      <c r="K678" s="38"/>
    </row>
    <row r="679" spans="1:11" ht="15.75" customHeight="1">
      <c r="A679" s="39"/>
      <c r="B679" s="40"/>
      <c r="H679" s="38"/>
      <c r="K679" s="38"/>
    </row>
    <row r="680" spans="1:11" ht="15.75" customHeight="1">
      <c r="A680" s="39"/>
      <c r="B680" s="40"/>
      <c r="H680" s="38"/>
      <c r="K680" s="38"/>
    </row>
    <row r="681" spans="1:11" ht="15.75" customHeight="1">
      <c r="A681" s="39"/>
      <c r="B681" s="40"/>
      <c r="H681" s="38"/>
      <c r="K681" s="38"/>
    </row>
    <row r="682" spans="1:11" ht="15.75" customHeight="1">
      <c r="A682" s="39"/>
      <c r="B682" s="40"/>
      <c r="H682" s="38"/>
      <c r="K682" s="38"/>
    </row>
    <row r="683" spans="1:11" ht="15.75" customHeight="1">
      <c r="A683" s="39"/>
      <c r="B683" s="40"/>
      <c r="H683" s="38"/>
      <c r="K683" s="38"/>
    </row>
    <row r="684" spans="1:11" ht="15.75" customHeight="1">
      <c r="A684" s="39"/>
      <c r="B684" s="40"/>
      <c r="H684" s="38"/>
      <c r="K684" s="38"/>
    </row>
    <row r="685" spans="1:11" ht="15.75" customHeight="1">
      <c r="A685" s="39"/>
      <c r="B685" s="40"/>
      <c r="H685" s="38"/>
      <c r="K685" s="38"/>
    </row>
    <row r="686" spans="1:11" ht="15.75" customHeight="1">
      <c r="A686" s="39"/>
      <c r="B686" s="40"/>
      <c r="H686" s="38"/>
      <c r="K686" s="38"/>
    </row>
    <row r="687" spans="1:11" ht="15.75" customHeight="1">
      <c r="A687" s="39"/>
      <c r="B687" s="40"/>
      <c r="H687" s="38"/>
      <c r="K687" s="38"/>
    </row>
    <row r="688" spans="1:11" ht="15.75" customHeight="1">
      <c r="A688" s="39"/>
      <c r="B688" s="40"/>
      <c r="H688" s="38"/>
      <c r="K688" s="38"/>
    </row>
    <row r="689" spans="1:11" ht="15.75" customHeight="1">
      <c r="A689" s="39"/>
      <c r="B689" s="40"/>
      <c r="H689" s="38"/>
      <c r="K689" s="38"/>
    </row>
    <row r="690" spans="1:11" ht="15.75" customHeight="1">
      <c r="A690" s="39"/>
      <c r="B690" s="40"/>
      <c r="H690" s="38"/>
      <c r="K690" s="38"/>
    </row>
    <row r="691" spans="1:11" ht="15.75" customHeight="1">
      <c r="A691" s="39"/>
      <c r="B691" s="40"/>
      <c r="H691" s="38"/>
      <c r="K691" s="38"/>
    </row>
    <row r="692" spans="1:11" ht="15.75" customHeight="1">
      <c r="A692" s="39"/>
      <c r="B692" s="40"/>
      <c r="H692" s="38"/>
      <c r="K692" s="38"/>
    </row>
    <row r="693" spans="1:11" ht="15.75" customHeight="1">
      <c r="A693" s="39"/>
      <c r="B693" s="40"/>
      <c r="H693" s="38"/>
      <c r="K693" s="38"/>
    </row>
    <row r="694" spans="1:11" ht="15.75" customHeight="1">
      <c r="A694" s="39"/>
      <c r="B694" s="40"/>
      <c r="H694" s="38"/>
      <c r="K694" s="38"/>
    </row>
    <row r="695" spans="1:11" ht="15.75" customHeight="1">
      <c r="A695" s="39"/>
      <c r="B695" s="40"/>
      <c r="H695" s="38"/>
      <c r="K695" s="38"/>
    </row>
    <row r="696" spans="1:11" ht="15.75" customHeight="1">
      <c r="A696" s="39"/>
      <c r="B696" s="40"/>
      <c r="H696" s="38"/>
      <c r="K696" s="38"/>
    </row>
    <row r="697" spans="1:11" ht="15.75" customHeight="1">
      <c r="A697" s="39"/>
      <c r="B697" s="40"/>
      <c r="H697" s="38"/>
      <c r="K697" s="38"/>
    </row>
    <row r="698" spans="1:11" ht="15.75" customHeight="1">
      <c r="A698" s="39"/>
      <c r="B698" s="40"/>
      <c r="H698" s="38"/>
      <c r="K698" s="38"/>
    </row>
    <row r="699" spans="1:11" ht="15.75" customHeight="1">
      <c r="A699" s="39"/>
      <c r="B699" s="40"/>
      <c r="H699" s="38"/>
      <c r="K699" s="38"/>
    </row>
    <row r="700" spans="1:11" ht="15.75" customHeight="1">
      <c r="A700" s="39"/>
      <c r="B700" s="40"/>
      <c r="H700" s="38"/>
      <c r="K700" s="38"/>
    </row>
    <row r="701" spans="1:11" ht="15.75" customHeight="1">
      <c r="A701" s="39"/>
      <c r="B701" s="40"/>
      <c r="H701" s="38"/>
      <c r="K701" s="38"/>
    </row>
    <row r="702" spans="1:11" ht="15.75" customHeight="1">
      <c r="A702" s="39"/>
      <c r="B702" s="40"/>
      <c r="H702" s="38"/>
      <c r="K702" s="38"/>
    </row>
    <row r="703" spans="1:11" ht="15.75" customHeight="1">
      <c r="A703" s="39"/>
      <c r="B703" s="40"/>
      <c r="H703" s="38"/>
      <c r="K703" s="38"/>
    </row>
    <row r="704" spans="1:11" ht="15.75" customHeight="1">
      <c r="A704" s="39"/>
      <c r="B704" s="40"/>
      <c r="H704" s="38"/>
      <c r="K704" s="38"/>
    </row>
    <row r="705" spans="1:11" ht="15.75" customHeight="1">
      <c r="A705" s="39"/>
      <c r="B705" s="40"/>
      <c r="H705" s="38"/>
      <c r="K705" s="38"/>
    </row>
    <row r="706" spans="1:11" ht="15.75" customHeight="1">
      <c r="A706" s="39"/>
      <c r="B706" s="40"/>
      <c r="H706" s="38"/>
      <c r="K706" s="38"/>
    </row>
    <row r="707" spans="1:11" ht="15.75" customHeight="1">
      <c r="A707" s="39"/>
      <c r="B707" s="40"/>
      <c r="H707" s="38"/>
      <c r="K707" s="38"/>
    </row>
    <row r="708" spans="1:11" ht="15.75" customHeight="1">
      <c r="A708" s="39"/>
      <c r="B708" s="40"/>
      <c r="H708" s="38"/>
      <c r="K708" s="38"/>
    </row>
    <row r="709" spans="1:11" ht="15.75" customHeight="1">
      <c r="A709" s="39"/>
      <c r="B709" s="40"/>
      <c r="H709" s="38"/>
      <c r="K709" s="38"/>
    </row>
    <row r="710" spans="1:11" ht="15.75" customHeight="1">
      <c r="A710" s="39"/>
      <c r="B710" s="40"/>
      <c r="H710" s="38"/>
      <c r="K710" s="38"/>
    </row>
    <row r="711" spans="1:11" ht="15.75" customHeight="1">
      <c r="A711" s="39"/>
      <c r="B711" s="40"/>
      <c r="H711" s="38"/>
      <c r="K711" s="38"/>
    </row>
    <row r="712" spans="1:11" ht="15.75" customHeight="1">
      <c r="A712" s="39"/>
      <c r="B712" s="40"/>
      <c r="H712" s="38"/>
      <c r="K712" s="38"/>
    </row>
    <row r="713" spans="1:11" ht="15.75" customHeight="1">
      <c r="A713" s="39"/>
      <c r="B713" s="40"/>
      <c r="H713" s="38"/>
      <c r="K713" s="38"/>
    </row>
    <row r="714" spans="1:11" ht="15.75" customHeight="1">
      <c r="A714" s="39"/>
      <c r="B714" s="40"/>
      <c r="H714" s="38"/>
      <c r="K714" s="38"/>
    </row>
    <row r="715" spans="1:11" ht="15.75" customHeight="1">
      <c r="A715" s="39"/>
      <c r="B715" s="40"/>
      <c r="H715" s="38"/>
      <c r="K715" s="38"/>
    </row>
    <row r="716" spans="1:11" ht="15.75" customHeight="1">
      <c r="A716" s="39"/>
      <c r="B716" s="40"/>
      <c r="H716" s="38"/>
      <c r="K716" s="38"/>
    </row>
    <row r="717" spans="1:11" ht="15.75" customHeight="1">
      <c r="A717" s="39"/>
      <c r="B717" s="40"/>
      <c r="H717" s="38"/>
      <c r="K717" s="38"/>
    </row>
    <row r="718" spans="1:11" ht="15.75" customHeight="1">
      <c r="A718" s="39"/>
      <c r="B718" s="40"/>
      <c r="H718" s="38"/>
      <c r="K718" s="38"/>
    </row>
    <row r="719" spans="1:11" ht="15.75" customHeight="1">
      <c r="A719" s="39"/>
      <c r="B719" s="40"/>
      <c r="H719" s="38"/>
      <c r="K719" s="38"/>
    </row>
    <row r="720" spans="1:11" ht="15.75" customHeight="1">
      <c r="A720" s="39"/>
      <c r="B720" s="40"/>
      <c r="H720" s="38"/>
      <c r="K720" s="38"/>
    </row>
    <row r="721" spans="1:11" ht="15.75" customHeight="1">
      <c r="A721" s="39"/>
      <c r="B721" s="40"/>
      <c r="H721" s="38"/>
      <c r="K721" s="38"/>
    </row>
    <row r="722" spans="1:11" ht="15.75" customHeight="1">
      <c r="A722" s="39"/>
      <c r="B722" s="40"/>
      <c r="H722" s="38"/>
      <c r="K722" s="38"/>
    </row>
    <row r="723" spans="1:11" ht="15.75" customHeight="1">
      <c r="A723" s="39"/>
      <c r="B723" s="40"/>
      <c r="H723" s="38"/>
      <c r="K723" s="38"/>
    </row>
    <row r="724" spans="1:11" ht="15.75" customHeight="1">
      <c r="A724" s="39"/>
      <c r="B724" s="40"/>
      <c r="H724" s="38"/>
      <c r="K724" s="38"/>
    </row>
    <row r="725" spans="1:11" ht="15.75" customHeight="1">
      <c r="A725" s="39"/>
      <c r="B725" s="40"/>
      <c r="H725" s="38"/>
      <c r="K725" s="38"/>
    </row>
    <row r="726" spans="1:11" ht="15.75" customHeight="1">
      <c r="A726" s="39"/>
      <c r="B726" s="40"/>
      <c r="H726" s="38"/>
      <c r="K726" s="38"/>
    </row>
    <row r="727" spans="1:11" ht="15.75" customHeight="1">
      <c r="A727" s="39"/>
      <c r="B727" s="40"/>
      <c r="H727" s="38"/>
      <c r="K727" s="38"/>
    </row>
    <row r="728" spans="1:11" ht="15.75" customHeight="1">
      <c r="A728" s="39"/>
      <c r="B728" s="40"/>
      <c r="H728" s="38"/>
      <c r="K728" s="38"/>
    </row>
    <row r="729" spans="1:11" ht="15.75" customHeight="1">
      <c r="A729" s="39"/>
      <c r="B729" s="40"/>
      <c r="H729" s="38"/>
      <c r="K729" s="38"/>
    </row>
    <row r="730" spans="1:11" ht="15.75" customHeight="1">
      <c r="A730" s="39"/>
      <c r="B730" s="40"/>
      <c r="H730" s="38"/>
      <c r="K730" s="38"/>
    </row>
    <row r="731" spans="1:11" ht="15.75" customHeight="1">
      <c r="A731" s="39"/>
      <c r="B731" s="40"/>
      <c r="H731" s="38"/>
      <c r="K731" s="38"/>
    </row>
    <row r="732" spans="1:11" ht="15.75" customHeight="1">
      <c r="A732" s="39"/>
      <c r="B732" s="40"/>
      <c r="H732" s="38"/>
      <c r="K732" s="38"/>
    </row>
    <row r="733" spans="1:11" ht="15.75" customHeight="1">
      <c r="A733" s="39"/>
      <c r="B733" s="40"/>
      <c r="H733" s="38"/>
      <c r="K733" s="38"/>
    </row>
    <row r="734" spans="1:11" ht="15.75" customHeight="1">
      <c r="A734" s="39"/>
      <c r="B734" s="40"/>
      <c r="H734" s="38"/>
      <c r="K734" s="38"/>
    </row>
    <row r="735" spans="1:11" ht="15.75" customHeight="1">
      <c r="A735" s="39"/>
      <c r="B735" s="40"/>
      <c r="H735" s="38"/>
      <c r="K735" s="38"/>
    </row>
    <row r="736" spans="1:11" ht="15.75" customHeight="1">
      <c r="A736" s="39"/>
      <c r="B736" s="40"/>
      <c r="H736" s="38"/>
      <c r="K736" s="38"/>
    </row>
    <row r="737" spans="1:11" ht="15.75" customHeight="1">
      <c r="A737" s="39"/>
      <c r="B737" s="40"/>
      <c r="H737" s="38"/>
      <c r="K737" s="38"/>
    </row>
    <row r="738" spans="1:11" ht="15.75" customHeight="1">
      <c r="A738" s="39"/>
      <c r="B738" s="40"/>
      <c r="H738" s="38"/>
      <c r="K738" s="38"/>
    </row>
    <row r="739" spans="1:11" ht="15.75" customHeight="1">
      <c r="A739" s="39"/>
      <c r="B739" s="40"/>
      <c r="H739" s="38"/>
      <c r="K739" s="38"/>
    </row>
    <row r="740" spans="1:11" ht="15.75" customHeight="1">
      <c r="A740" s="39"/>
      <c r="B740" s="40"/>
      <c r="H740" s="38"/>
      <c r="K740" s="38"/>
    </row>
    <row r="741" spans="1:11" ht="15.75" customHeight="1">
      <c r="A741" s="39"/>
      <c r="B741" s="40"/>
      <c r="H741" s="38"/>
      <c r="K741" s="38"/>
    </row>
    <row r="742" spans="1:11" ht="15.75" customHeight="1">
      <c r="A742" s="39"/>
      <c r="B742" s="40"/>
      <c r="H742" s="38"/>
      <c r="K742" s="38"/>
    </row>
    <row r="743" spans="1:11" ht="15.75" customHeight="1">
      <c r="A743" s="39"/>
      <c r="B743" s="40"/>
      <c r="H743" s="38"/>
      <c r="K743" s="38"/>
    </row>
    <row r="744" spans="1:11" ht="15.75" customHeight="1">
      <c r="A744" s="39"/>
      <c r="B744" s="40"/>
      <c r="H744" s="38"/>
      <c r="K744" s="38"/>
    </row>
    <row r="745" spans="1:11" ht="15.75" customHeight="1">
      <c r="A745" s="39"/>
      <c r="B745" s="40"/>
      <c r="H745" s="38"/>
      <c r="K745" s="38"/>
    </row>
    <row r="746" spans="1:11" ht="15.75" customHeight="1">
      <c r="A746" s="39"/>
      <c r="B746" s="40"/>
      <c r="H746" s="38"/>
      <c r="K746" s="38"/>
    </row>
    <row r="747" spans="1:11" ht="15.75" customHeight="1">
      <c r="A747" s="39"/>
      <c r="B747" s="40"/>
      <c r="H747" s="38"/>
      <c r="K747" s="38"/>
    </row>
    <row r="748" spans="1:11" ht="15.75" customHeight="1">
      <c r="A748" s="39"/>
      <c r="B748" s="40"/>
      <c r="H748" s="38"/>
      <c r="K748" s="38"/>
    </row>
    <row r="749" spans="1:11" ht="15.75" customHeight="1">
      <c r="A749" s="39"/>
      <c r="B749" s="40"/>
      <c r="H749" s="38"/>
      <c r="K749" s="38"/>
    </row>
    <row r="750" spans="1:11" ht="15.75" customHeight="1">
      <c r="A750" s="39"/>
      <c r="B750" s="40"/>
      <c r="H750" s="38"/>
      <c r="K750" s="38"/>
    </row>
    <row r="751" spans="1:11" ht="15.75" customHeight="1">
      <c r="A751" s="39"/>
      <c r="B751" s="40"/>
      <c r="H751" s="38"/>
      <c r="K751" s="38"/>
    </row>
    <row r="752" spans="1:11" ht="15.75" customHeight="1">
      <c r="A752" s="39"/>
      <c r="B752" s="40"/>
      <c r="H752" s="38"/>
      <c r="K752" s="38"/>
    </row>
    <row r="753" spans="1:11" ht="15.75" customHeight="1">
      <c r="A753" s="39"/>
      <c r="B753" s="40"/>
      <c r="H753" s="38"/>
      <c r="K753" s="38"/>
    </row>
    <row r="754" spans="1:11" ht="15.75" customHeight="1">
      <c r="A754" s="39"/>
      <c r="B754" s="40"/>
      <c r="H754" s="38"/>
      <c r="K754" s="38"/>
    </row>
    <row r="755" spans="1:11" ht="15.75" customHeight="1">
      <c r="A755" s="39"/>
      <c r="B755" s="40"/>
      <c r="H755" s="38"/>
      <c r="K755" s="38"/>
    </row>
    <row r="756" spans="1:11" ht="15.75" customHeight="1">
      <c r="A756" s="39"/>
      <c r="B756" s="40"/>
      <c r="H756" s="38"/>
      <c r="K756" s="38"/>
    </row>
    <row r="757" spans="1:11" ht="15.75" customHeight="1">
      <c r="A757" s="39"/>
      <c r="B757" s="40"/>
      <c r="H757" s="38"/>
      <c r="K757" s="38"/>
    </row>
    <row r="758" spans="1:11" ht="15.75" customHeight="1">
      <c r="A758" s="39"/>
      <c r="B758" s="40"/>
      <c r="H758" s="38"/>
      <c r="K758" s="38"/>
    </row>
    <row r="759" spans="1:11" ht="15.75" customHeight="1">
      <c r="A759" s="39"/>
      <c r="B759" s="40"/>
      <c r="H759" s="38"/>
      <c r="K759" s="38"/>
    </row>
    <row r="760" spans="1:11" ht="15.75" customHeight="1">
      <c r="A760" s="39"/>
      <c r="B760" s="40"/>
      <c r="H760" s="38"/>
      <c r="K760" s="38"/>
    </row>
    <row r="761" spans="1:11" ht="15.75" customHeight="1">
      <c r="A761" s="39"/>
      <c r="B761" s="40"/>
      <c r="H761" s="38"/>
      <c r="K761" s="38"/>
    </row>
    <row r="762" spans="1:11" ht="15.75" customHeight="1">
      <c r="A762" s="39"/>
      <c r="B762" s="40"/>
      <c r="H762" s="38"/>
      <c r="K762" s="38"/>
    </row>
    <row r="763" spans="1:11" ht="15.75" customHeight="1">
      <c r="A763" s="39"/>
      <c r="B763" s="40"/>
      <c r="H763" s="38"/>
      <c r="K763" s="38"/>
    </row>
    <row r="764" spans="1:11" ht="15.75" customHeight="1">
      <c r="A764" s="39"/>
      <c r="B764" s="40"/>
      <c r="H764" s="38"/>
      <c r="K764" s="38"/>
    </row>
    <row r="765" spans="1:11" ht="15.75" customHeight="1">
      <c r="A765" s="39"/>
      <c r="B765" s="40"/>
      <c r="H765" s="38"/>
      <c r="K765" s="38"/>
    </row>
    <row r="766" spans="1:11" ht="15.75" customHeight="1">
      <c r="A766" s="39"/>
      <c r="B766" s="40"/>
      <c r="H766" s="38"/>
      <c r="K766" s="38"/>
    </row>
    <row r="767" spans="1:11" ht="15.75" customHeight="1">
      <c r="A767" s="39"/>
      <c r="B767" s="40"/>
      <c r="H767" s="38"/>
      <c r="K767" s="38"/>
    </row>
    <row r="768" spans="1:11" ht="15.75" customHeight="1">
      <c r="A768" s="39"/>
      <c r="B768" s="40"/>
      <c r="H768" s="38"/>
      <c r="K768" s="38"/>
    </row>
    <row r="769" spans="1:11" ht="15.75" customHeight="1">
      <c r="A769" s="39"/>
      <c r="B769" s="40"/>
      <c r="H769" s="38"/>
      <c r="K769" s="38"/>
    </row>
    <row r="770" spans="1:11" ht="15.75" customHeight="1">
      <c r="A770" s="39"/>
      <c r="B770" s="40"/>
      <c r="H770" s="38"/>
      <c r="K770" s="38"/>
    </row>
    <row r="771" spans="1:11" ht="15.75" customHeight="1">
      <c r="A771" s="39"/>
      <c r="B771" s="40"/>
      <c r="H771" s="38"/>
      <c r="K771" s="38"/>
    </row>
    <row r="772" spans="1:11" ht="15.75" customHeight="1">
      <c r="A772" s="39"/>
      <c r="B772" s="40"/>
      <c r="H772" s="38"/>
      <c r="K772" s="38"/>
    </row>
    <row r="773" spans="1:11" ht="15.75" customHeight="1">
      <c r="A773" s="39"/>
      <c r="B773" s="40"/>
      <c r="H773" s="38"/>
      <c r="K773" s="38"/>
    </row>
    <row r="774" spans="1:11" ht="15.75" customHeight="1">
      <c r="A774" s="39"/>
      <c r="B774" s="40"/>
      <c r="H774" s="38"/>
      <c r="K774" s="38"/>
    </row>
    <row r="775" spans="1:11" ht="15.75" customHeight="1">
      <c r="A775" s="39"/>
      <c r="B775" s="40"/>
      <c r="H775" s="38"/>
      <c r="K775" s="38"/>
    </row>
    <row r="776" spans="1:11" ht="15.75" customHeight="1">
      <c r="A776" s="39"/>
      <c r="B776" s="40"/>
      <c r="H776" s="38"/>
      <c r="K776" s="38"/>
    </row>
    <row r="777" spans="1:11" ht="15.75" customHeight="1">
      <c r="A777" s="39"/>
      <c r="B777" s="40"/>
      <c r="H777" s="38"/>
      <c r="K777" s="38"/>
    </row>
    <row r="778" spans="1:11" ht="15.75" customHeight="1">
      <c r="A778" s="39"/>
      <c r="B778" s="40"/>
      <c r="H778" s="38"/>
      <c r="K778" s="38"/>
    </row>
    <row r="779" spans="1:11" ht="15.75" customHeight="1">
      <c r="A779" s="39"/>
      <c r="B779" s="40"/>
      <c r="H779" s="38"/>
      <c r="K779" s="38"/>
    </row>
    <row r="780" spans="1:11" ht="15.75" customHeight="1">
      <c r="A780" s="39"/>
      <c r="B780" s="40"/>
      <c r="H780" s="38"/>
      <c r="K780" s="38"/>
    </row>
    <row r="781" spans="1:11" ht="15.75" customHeight="1">
      <c r="A781" s="39"/>
      <c r="B781" s="40"/>
      <c r="H781" s="38"/>
      <c r="K781" s="38"/>
    </row>
    <row r="782" spans="1:11" ht="15.75" customHeight="1">
      <c r="A782" s="39"/>
      <c r="B782" s="40"/>
      <c r="H782" s="38"/>
      <c r="K782" s="38"/>
    </row>
    <row r="783" spans="1:11" ht="15.75" customHeight="1">
      <c r="A783" s="39"/>
      <c r="B783" s="40"/>
      <c r="H783" s="38"/>
      <c r="K783" s="38"/>
    </row>
    <row r="784" spans="1:11" ht="15.75" customHeight="1">
      <c r="A784" s="39"/>
      <c r="B784" s="40"/>
      <c r="H784" s="38"/>
      <c r="K784" s="38"/>
    </row>
    <row r="785" spans="1:11" ht="15.75" customHeight="1">
      <c r="A785" s="39"/>
      <c r="B785" s="40"/>
      <c r="H785" s="38"/>
      <c r="K785" s="38"/>
    </row>
    <row r="786" spans="1:11" ht="15.75" customHeight="1">
      <c r="A786" s="39"/>
      <c r="B786" s="40"/>
      <c r="H786" s="38"/>
      <c r="K786" s="38"/>
    </row>
    <row r="787" spans="1:11" ht="15.75" customHeight="1">
      <c r="A787" s="39"/>
      <c r="B787" s="40"/>
      <c r="H787" s="38"/>
      <c r="K787" s="38"/>
    </row>
    <row r="788" spans="1:11" ht="15.75" customHeight="1">
      <c r="A788" s="39"/>
      <c r="B788" s="40"/>
      <c r="H788" s="38"/>
      <c r="K788" s="38"/>
    </row>
    <row r="789" spans="1:11" ht="15.75" customHeight="1">
      <c r="A789" s="39"/>
      <c r="B789" s="40"/>
      <c r="H789" s="38"/>
      <c r="K789" s="38"/>
    </row>
    <row r="790" spans="1:11" ht="15.75" customHeight="1">
      <c r="A790" s="39"/>
      <c r="B790" s="40"/>
      <c r="H790" s="38"/>
      <c r="K790" s="38"/>
    </row>
    <row r="791" spans="1:11" ht="15.75" customHeight="1">
      <c r="A791" s="39"/>
      <c r="B791" s="40"/>
      <c r="H791" s="38"/>
      <c r="K791" s="38"/>
    </row>
    <row r="792" spans="1:11" ht="15.75" customHeight="1">
      <c r="A792" s="39"/>
      <c r="B792" s="40"/>
      <c r="H792" s="38"/>
      <c r="K792" s="38"/>
    </row>
    <row r="793" spans="1:11" ht="15.75" customHeight="1">
      <c r="A793" s="39"/>
      <c r="B793" s="40"/>
      <c r="H793" s="38"/>
      <c r="K793" s="38"/>
    </row>
    <row r="794" spans="1:11" ht="15.75" customHeight="1">
      <c r="A794" s="39"/>
      <c r="B794" s="40"/>
      <c r="H794" s="38"/>
      <c r="K794" s="38"/>
    </row>
    <row r="795" spans="1:11" ht="15.75" customHeight="1">
      <c r="A795" s="39"/>
      <c r="B795" s="40"/>
      <c r="H795" s="38"/>
      <c r="K795" s="38"/>
    </row>
    <row r="796" spans="1:11" ht="15.75" customHeight="1">
      <c r="A796" s="39"/>
      <c r="B796" s="40"/>
      <c r="H796" s="38"/>
      <c r="K796" s="38"/>
    </row>
    <row r="797" spans="1:11" ht="15.75" customHeight="1">
      <c r="A797" s="39"/>
      <c r="B797" s="40"/>
      <c r="H797" s="38"/>
      <c r="K797" s="38"/>
    </row>
    <row r="798" spans="1:11" ht="15.75" customHeight="1">
      <c r="A798" s="39"/>
      <c r="B798" s="40"/>
      <c r="H798" s="38"/>
      <c r="K798" s="38"/>
    </row>
    <row r="799" spans="1:11" ht="15.75" customHeight="1">
      <c r="A799" s="39"/>
      <c r="B799" s="40"/>
      <c r="H799" s="38"/>
      <c r="K799" s="38"/>
    </row>
    <row r="800" spans="1:11" ht="15.75" customHeight="1">
      <c r="A800" s="39"/>
      <c r="B800" s="40"/>
      <c r="H800" s="38"/>
      <c r="K800" s="38"/>
    </row>
    <row r="801" spans="1:11" ht="15.75" customHeight="1">
      <c r="A801" s="39"/>
      <c r="B801" s="40"/>
      <c r="H801" s="38"/>
      <c r="K801" s="38"/>
    </row>
    <row r="802" spans="1:11" ht="15.75" customHeight="1">
      <c r="A802" s="39"/>
      <c r="B802" s="40"/>
      <c r="H802" s="38"/>
      <c r="K802" s="38"/>
    </row>
    <row r="803" spans="1:11" ht="15.75" customHeight="1">
      <c r="A803" s="39"/>
      <c r="B803" s="40"/>
      <c r="H803" s="38"/>
      <c r="K803" s="38"/>
    </row>
    <row r="804" spans="1:11" ht="15.75" customHeight="1">
      <c r="A804" s="39"/>
      <c r="B804" s="40"/>
      <c r="H804" s="38"/>
      <c r="K804" s="38"/>
    </row>
    <row r="805" spans="1:11" ht="15.75" customHeight="1">
      <c r="A805" s="39"/>
      <c r="B805" s="40"/>
      <c r="H805" s="38"/>
      <c r="K805" s="38"/>
    </row>
    <row r="806" spans="1:11" ht="15.75" customHeight="1">
      <c r="A806" s="39"/>
      <c r="B806" s="40"/>
      <c r="H806" s="38"/>
      <c r="K806" s="38"/>
    </row>
    <row r="807" spans="1:11" ht="15.75" customHeight="1">
      <c r="A807" s="39"/>
      <c r="B807" s="40"/>
      <c r="H807" s="38"/>
      <c r="K807" s="38"/>
    </row>
    <row r="808" spans="1:11" ht="15.75" customHeight="1">
      <c r="A808" s="39"/>
      <c r="B808" s="40"/>
      <c r="H808" s="38"/>
      <c r="K808" s="38"/>
    </row>
    <row r="809" spans="1:11" ht="15.75" customHeight="1">
      <c r="A809" s="39"/>
      <c r="B809" s="40"/>
      <c r="H809" s="38"/>
      <c r="K809" s="38"/>
    </row>
    <row r="810" spans="1:11" ht="15.75" customHeight="1">
      <c r="A810" s="39"/>
      <c r="B810" s="40"/>
      <c r="H810" s="38"/>
      <c r="K810" s="38"/>
    </row>
    <row r="811" spans="1:11" ht="15.75" customHeight="1">
      <c r="A811" s="39"/>
      <c r="B811" s="40"/>
      <c r="H811" s="38"/>
      <c r="K811" s="38"/>
    </row>
    <row r="812" spans="1:11" ht="15.75" customHeight="1">
      <c r="A812" s="39"/>
      <c r="B812" s="40"/>
      <c r="H812" s="38"/>
      <c r="K812" s="38"/>
    </row>
    <row r="813" spans="1:11" ht="15.75" customHeight="1">
      <c r="A813" s="39"/>
      <c r="B813" s="40"/>
      <c r="H813" s="38"/>
      <c r="K813" s="38"/>
    </row>
    <row r="814" spans="1:11" ht="15.75" customHeight="1">
      <c r="A814" s="39"/>
      <c r="B814" s="40"/>
      <c r="H814" s="38"/>
      <c r="K814" s="38"/>
    </row>
    <row r="815" spans="1:11" ht="15.75" customHeight="1">
      <c r="A815" s="39"/>
      <c r="B815" s="40"/>
      <c r="H815" s="38"/>
      <c r="K815" s="38"/>
    </row>
    <row r="816" spans="1:11" ht="15.75" customHeight="1">
      <c r="A816" s="39"/>
      <c r="B816" s="40"/>
      <c r="H816" s="38"/>
      <c r="K816" s="38"/>
    </row>
    <row r="817" spans="1:11" ht="15.75" customHeight="1">
      <c r="A817" s="39"/>
      <c r="B817" s="40"/>
      <c r="H817" s="38"/>
      <c r="K817" s="38"/>
    </row>
    <row r="818" spans="1:11" ht="15.75" customHeight="1">
      <c r="A818" s="39"/>
      <c r="B818" s="40"/>
      <c r="H818" s="38"/>
      <c r="K818" s="38"/>
    </row>
    <row r="819" spans="1:11" ht="15.75" customHeight="1">
      <c r="A819" s="39"/>
      <c r="B819" s="40"/>
      <c r="H819" s="38"/>
      <c r="K819" s="38"/>
    </row>
    <row r="820" spans="1:11" ht="15.75" customHeight="1">
      <c r="A820" s="39"/>
      <c r="B820" s="40"/>
      <c r="H820" s="38"/>
      <c r="K820" s="38"/>
    </row>
    <row r="821" spans="1:11" ht="15.75" customHeight="1">
      <c r="A821" s="39"/>
      <c r="B821" s="40"/>
      <c r="H821" s="38"/>
      <c r="K821" s="38"/>
    </row>
    <row r="822" spans="1:11" ht="15.75" customHeight="1">
      <c r="A822" s="39"/>
      <c r="B822" s="40"/>
      <c r="H822" s="38"/>
      <c r="K822" s="38"/>
    </row>
    <row r="823" spans="1:11" ht="15.75" customHeight="1">
      <c r="A823" s="39"/>
      <c r="B823" s="40"/>
      <c r="H823" s="38"/>
      <c r="K823" s="38"/>
    </row>
    <row r="824" spans="1:11" ht="15.75" customHeight="1">
      <c r="A824" s="39"/>
      <c r="B824" s="40"/>
      <c r="H824" s="38"/>
      <c r="K824" s="38"/>
    </row>
    <row r="825" spans="1:11" ht="15.75" customHeight="1">
      <c r="A825" s="39"/>
      <c r="B825" s="40"/>
      <c r="H825" s="38"/>
      <c r="K825" s="38"/>
    </row>
    <row r="826" spans="1:11" ht="15.75" customHeight="1">
      <c r="A826" s="39"/>
      <c r="B826" s="40"/>
      <c r="H826" s="38"/>
      <c r="K826" s="38"/>
    </row>
    <row r="827" spans="1:11" ht="15.75" customHeight="1">
      <c r="A827" s="39"/>
      <c r="B827" s="40"/>
      <c r="H827" s="38"/>
      <c r="K827" s="38"/>
    </row>
    <row r="828" spans="1:11" ht="15.75" customHeight="1">
      <c r="A828" s="39"/>
      <c r="B828" s="40"/>
      <c r="H828" s="38"/>
      <c r="K828" s="38"/>
    </row>
    <row r="829" spans="1:11" ht="15.75" customHeight="1">
      <c r="A829" s="39"/>
      <c r="B829" s="40"/>
      <c r="H829" s="38"/>
      <c r="K829" s="38"/>
    </row>
    <row r="830" spans="1:11" ht="15.75" customHeight="1">
      <c r="A830" s="39"/>
      <c r="B830" s="40"/>
      <c r="H830" s="38"/>
      <c r="K830" s="38"/>
    </row>
    <row r="831" spans="1:11" ht="15.75" customHeight="1">
      <c r="A831" s="39"/>
      <c r="B831" s="40"/>
      <c r="H831" s="38"/>
      <c r="K831" s="38"/>
    </row>
    <row r="832" spans="1:11" ht="15.75" customHeight="1">
      <c r="A832" s="39"/>
      <c r="B832" s="40"/>
      <c r="H832" s="38"/>
      <c r="K832" s="38"/>
    </row>
    <row r="833" spans="1:11" ht="15.75" customHeight="1">
      <c r="A833" s="39"/>
      <c r="B833" s="40"/>
      <c r="H833" s="38"/>
      <c r="K833" s="38"/>
    </row>
    <row r="834" spans="1:11" ht="15.75" customHeight="1">
      <c r="A834" s="39"/>
      <c r="B834" s="40"/>
      <c r="H834" s="38"/>
      <c r="K834" s="38"/>
    </row>
    <row r="835" spans="1:11" ht="15.75" customHeight="1">
      <c r="A835" s="39"/>
      <c r="B835" s="40"/>
      <c r="H835" s="38"/>
      <c r="K835" s="38"/>
    </row>
    <row r="836" spans="1:11" ht="15.75" customHeight="1">
      <c r="A836" s="39"/>
      <c r="B836" s="40"/>
      <c r="H836" s="38"/>
      <c r="K836" s="38"/>
    </row>
    <row r="837" spans="1:11" ht="15.75" customHeight="1">
      <c r="A837" s="39"/>
      <c r="B837" s="40"/>
      <c r="H837" s="38"/>
      <c r="K837" s="38"/>
    </row>
    <row r="838" spans="1:11" ht="15.75" customHeight="1">
      <c r="A838" s="39"/>
      <c r="B838" s="40"/>
      <c r="H838" s="38"/>
      <c r="K838" s="38"/>
    </row>
    <row r="839" spans="1:11" ht="15.75" customHeight="1">
      <c r="A839" s="39"/>
      <c r="B839" s="40"/>
      <c r="H839" s="38"/>
      <c r="K839" s="38"/>
    </row>
    <row r="840" spans="1:11" ht="15.75" customHeight="1">
      <c r="A840" s="39"/>
      <c r="B840" s="40"/>
      <c r="H840" s="38"/>
      <c r="K840" s="38"/>
    </row>
    <row r="841" spans="1:11" ht="15.75" customHeight="1">
      <c r="A841" s="39"/>
      <c r="B841" s="40"/>
      <c r="H841" s="38"/>
      <c r="K841" s="38"/>
    </row>
    <row r="842" spans="1:11" ht="15.75" customHeight="1">
      <c r="A842" s="39"/>
      <c r="B842" s="40"/>
      <c r="H842" s="38"/>
      <c r="K842" s="38"/>
    </row>
    <row r="843" spans="1:11" ht="15.75" customHeight="1">
      <c r="A843" s="39"/>
      <c r="B843" s="40"/>
      <c r="H843" s="38"/>
      <c r="K843" s="38"/>
    </row>
    <row r="844" spans="1:11" ht="15.75" customHeight="1">
      <c r="A844" s="39"/>
      <c r="B844" s="40"/>
      <c r="H844" s="38"/>
      <c r="K844" s="38"/>
    </row>
    <row r="845" spans="1:11" ht="15.75" customHeight="1">
      <c r="A845" s="39"/>
      <c r="B845" s="40"/>
      <c r="H845" s="38"/>
      <c r="K845" s="38"/>
    </row>
    <row r="846" spans="1:11" ht="15.75" customHeight="1">
      <c r="A846" s="39"/>
      <c r="B846" s="40"/>
      <c r="H846" s="38"/>
      <c r="K846" s="38"/>
    </row>
    <row r="847" spans="1:11" ht="15.75" customHeight="1">
      <c r="A847" s="39"/>
      <c r="B847" s="40"/>
      <c r="H847" s="38"/>
      <c r="K847" s="38"/>
    </row>
    <row r="848" spans="1:11" ht="15.75" customHeight="1">
      <c r="A848" s="39"/>
      <c r="B848" s="40"/>
      <c r="H848" s="38"/>
      <c r="K848" s="38"/>
    </row>
    <row r="849" spans="1:11" ht="15.75" customHeight="1">
      <c r="A849" s="39"/>
      <c r="B849" s="40"/>
      <c r="H849" s="38"/>
      <c r="K849" s="38"/>
    </row>
    <row r="850" spans="1:11" ht="15.75" customHeight="1">
      <c r="A850" s="39"/>
      <c r="B850" s="40"/>
      <c r="H850" s="38"/>
      <c r="K850" s="38"/>
    </row>
    <row r="851" spans="1:11" ht="15.75" customHeight="1">
      <c r="A851" s="39"/>
      <c r="B851" s="40"/>
      <c r="H851" s="38"/>
      <c r="K851" s="38"/>
    </row>
    <row r="852" spans="1:11" ht="15.75" customHeight="1">
      <c r="A852" s="39"/>
      <c r="B852" s="40"/>
      <c r="H852" s="38"/>
      <c r="K852" s="38"/>
    </row>
    <row r="853" spans="1:11" ht="15.75" customHeight="1">
      <c r="A853" s="39"/>
      <c r="B853" s="40"/>
      <c r="H853" s="38"/>
      <c r="K853" s="38"/>
    </row>
    <row r="854" spans="1:11" ht="15.75" customHeight="1">
      <c r="A854" s="39"/>
      <c r="B854" s="40"/>
      <c r="H854" s="38"/>
      <c r="K854" s="38"/>
    </row>
    <row r="855" spans="1:11" ht="15.75" customHeight="1">
      <c r="A855" s="39"/>
      <c r="B855" s="40"/>
      <c r="H855" s="38"/>
      <c r="K855" s="38"/>
    </row>
    <row r="856" spans="1:11" ht="15.75" customHeight="1">
      <c r="A856" s="39"/>
      <c r="B856" s="40"/>
      <c r="H856" s="38"/>
      <c r="K856" s="38"/>
    </row>
    <row r="857" spans="1:11" ht="15.75" customHeight="1">
      <c r="A857" s="39"/>
      <c r="B857" s="40"/>
      <c r="H857" s="38"/>
      <c r="K857" s="38"/>
    </row>
    <row r="858" spans="1:11" ht="15.75" customHeight="1">
      <c r="A858" s="39"/>
      <c r="B858" s="40"/>
      <c r="H858" s="38"/>
      <c r="K858" s="38"/>
    </row>
    <row r="859" spans="1:11" ht="15.75" customHeight="1">
      <c r="A859" s="39"/>
      <c r="B859" s="40"/>
      <c r="H859" s="38"/>
      <c r="K859" s="38"/>
    </row>
    <row r="860" spans="1:11" ht="15.75" customHeight="1">
      <c r="A860" s="39"/>
      <c r="B860" s="40"/>
      <c r="H860" s="38"/>
      <c r="K860" s="38"/>
    </row>
    <row r="861" spans="1:11" ht="15.75" customHeight="1">
      <c r="A861" s="39"/>
      <c r="B861" s="40"/>
      <c r="H861" s="38"/>
      <c r="K861" s="38"/>
    </row>
    <row r="862" spans="1:11" ht="15.75" customHeight="1">
      <c r="A862" s="39"/>
      <c r="B862" s="40"/>
      <c r="H862" s="38"/>
      <c r="K862" s="38"/>
    </row>
    <row r="863" spans="1:11" ht="15.75" customHeight="1">
      <c r="A863" s="39"/>
      <c r="B863" s="40"/>
      <c r="H863" s="38"/>
      <c r="K863" s="38"/>
    </row>
    <row r="864" spans="1:11" ht="15.75" customHeight="1">
      <c r="A864" s="39"/>
      <c r="B864" s="40"/>
      <c r="H864" s="38"/>
      <c r="K864" s="38"/>
    </row>
    <row r="865" spans="1:11" ht="15.75" customHeight="1">
      <c r="A865" s="39"/>
      <c r="B865" s="40"/>
      <c r="H865" s="38"/>
      <c r="K865" s="38"/>
    </row>
    <row r="866" spans="1:11" ht="15.75" customHeight="1">
      <c r="A866" s="39"/>
      <c r="B866" s="40"/>
      <c r="H866" s="38"/>
      <c r="K866" s="38"/>
    </row>
    <row r="867" spans="1:11" ht="15.75" customHeight="1">
      <c r="A867" s="39"/>
      <c r="B867" s="40"/>
      <c r="H867" s="38"/>
      <c r="K867" s="38"/>
    </row>
    <row r="868" spans="1:11" ht="15.75" customHeight="1">
      <c r="A868" s="39"/>
      <c r="B868" s="40"/>
      <c r="H868" s="38"/>
      <c r="K868" s="38"/>
    </row>
    <row r="869" spans="1:11" ht="15.75" customHeight="1">
      <c r="A869" s="39"/>
      <c r="B869" s="40"/>
      <c r="H869" s="38"/>
      <c r="K869" s="38"/>
    </row>
    <row r="870" spans="1:11" ht="15.75" customHeight="1">
      <c r="A870" s="39"/>
      <c r="B870" s="40"/>
      <c r="H870" s="38"/>
      <c r="K870" s="38"/>
    </row>
    <row r="871" spans="1:11" ht="15.75" customHeight="1">
      <c r="A871" s="39"/>
      <c r="B871" s="40"/>
      <c r="H871" s="38"/>
      <c r="K871" s="38"/>
    </row>
    <row r="872" spans="1:11" ht="15.75" customHeight="1">
      <c r="A872" s="39"/>
      <c r="B872" s="40"/>
      <c r="H872" s="38"/>
      <c r="K872" s="38"/>
    </row>
    <row r="873" spans="1:11" ht="15.75" customHeight="1">
      <c r="A873" s="39"/>
      <c r="B873" s="40"/>
      <c r="H873" s="38"/>
      <c r="K873" s="38"/>
    </row>
    <row r="874" spans="1:11" ht="15.75" customHeight="1">
      <c r="A874" s="39"/>
      <c r="B874" s="40"/>
      <c r="H874" s="38"/>
      <c r="K874" s="38"/>
    </row>
    <row r="875" spans="1:11" ht="15.75" customHeight="1">
      <c r="A875" s="39"/>
      <c r="B875" s="40"/>
      <c r="H875" s="38"/>
      <c r="K875" s="38"/>
    </row>
    <row r="876" spans="1:11" ht="15.75" customHeight="1">
      <c r="A876" s="39"/>
      <c r="B876" s="40"/>
      <c r="H876" s="38"/>
      <c r="K876" s="38"/>
    </row>
    <row r="877" spans="1:11" ht="15.75" customHeight="1">
      <c r="A877" s="39"/>
      <c r="B877" s="40"/>
      <c r="H877" s="38"/>
      <c r="K877" s="38"/>
    </row>
    <row r="878" spans="1:11" ht="15.75" customHeight="1">
      <c r="A878" s="39"/>
      <c r="B878" s="40"/>
      <c r="H878" s="38"/>
      <c r="K878" s="38"/>
    </row>
    <row r="879" spans="1:11" ht="15.75" customHeight="1">
      <c r="A879" s="39"/>
      <c r="B879" s="40"/>
      <c r="H879" s="38"/>
      <c r="K879" s="38"/>
    </row>
    <row r="880" spans="1:11" ht="15.75" customHeight="1">
      <c r="A880" s="39"/>
      <c r="B880" s="40"/>
      <c r="H880" s="38"/>
      <c r="K880" s="38"/>
    </row>
    <row r="881" spans="1:11" ht="15.75" customHeight="1">
      <c r="A881" s="39"/>
      <c r="B881" s="40"/>
      <c r="H881" s="38"/>
      <c r="K881" s="38"/>
    </row>
    <row r="882" spans="1:11" ht="15.75" customHeight="1">
      <c r="A882" s="39"/>
      <c r="B882" s="40"/>
      <c r="H882" s="38"/>
      <c r="K882" s="38"/>
    </row>
    <row r="883" spans="1:11" ht="15.75" customHeight="1">
      <c r="A883" s="39"/>
      <c r="B883" s="40"/>
      <c r="H883" s="38"/>
      <c r="K883" s="38"/>
    </row>
    <row r="884" spans="1:11" ht="15.75" customHeight="1">
      <c r="A884" s="39"/>
      <c r="B884" s="40"/>
      <c r="H884" s="38"/>
      <c r="K884" s="38"/>
    </row>
    <row r="885" spans="1:11" ht="15.75" customHeight="1">
      <c r="A885" s="39"/>
      <c r="B885" s="40"/>
      <c r="H885" s="38"/>
      <c r="K885" s="38"/>
    </row>
    <row r="886" spans="1:11" ht="15.75" customHeight="1">
      <c r="A886" s="39"/>
      <c r="B886" s="40"/>
      <c r="H886" s="38"/>
      <c r="K886" s="38"/>
    </row>
    <row r="887" spans="1:11" ht="15.75" customHeight="1">
      <c r="A887" s="39"/>
      <c r="B887" s="40"/>
      <c r="H887" s="38"/>
      <c r="K887" s="38"/>
    </row>
    <row r="888" spans="1:11" ht="15.75" customHeight="1">
      <c r="A888" s="39"/>
      <c r="B888" s="40"/>
      <c r="H888" s="38"/>
      <c r="K888" s="38"/>
    </row>
    <row r="889" spans="1:11" ht="15.75" customHeight="1">
      <c r="A889" s="39"/>
      <c r="B889" s="40"/>
      <c r="H889" s="38"/>
      <c r="K889" s="38"/>
    </row>
    <row r="890" spans="1:11" ht="15.75" customHeight="1">
      <c r="A890" s="39"/>
      <c r="B890" s="40"/>
      <c r="H890" s="38"/>
      <c r="K890" s="38"/>
    </row>
    <row r="891" spans="1:11" ht="15.75" customHeight="1">
      <c r="A891" s="39"/>
      <c r="B891" s="40"/>
      <c r="H891" s="38"/>
      <c r="K891" s="38"/>
    </row>
    <row r="892" spans="1:11" ht="15.75" customHeight="1">
      <c r="A892" s="39"/>
      <c r="B892" s="40"/>
      <c r="H892" s="38"/>
      <c r="K892" s="38"/>
    </row>
    <row r="893" spans="1:11" ht="15.75" customHeight="1">
      <c r="A893" s="39"/>
      <c r="B893" s="40"/>
      <c r="H893" s="38"/>
      <c r="K893" s="38"/>
    </row>
    <row r="894" spans="1:11" ht="15.75" customHeight="1">
      <c r="A894" s="39"/>
      <c r="B894" s="40"/>
      <c r="H894" s="38"/>
      <c r="K894" s="38"/>
    </row>
    <row r="895" spans="1:11" ht="15.75" customHeight="1">
      <c r="A895" s="39"/>
      <c r="B895" s="40"/>
      <c r="H895" s="38"/>
      <c r="K895" s="38"/>
    </row>
    <row r="896" spans="1:11" ht="15.75" customHeight="1">
      <c r="A896" s="39"/>
      <c r="B896" s="40"/>
      <c r="H896" s="38"/>
      <c r="K896" s="38"/>
    </row>
    <row r="897" spans="1:11" ht="15.75" customHeight="1">
      <c r="A897" s="39"/>
      <c r="B897" s="40"/>
      <c r="H897" s="38"/>
      <c r="K897" s="38"/>
    </row>
    <row r="898" spans="1:11" ht="15.75" customHeight="1">
      <c r="A898" s="39"/>
      <c r="B898" s="40"/>
      <c r="H898" s="38"/>
      <c r="K898" s="38"/>
    </row>
    <row r="899" spans="1:11" ht="15.75" customHeight="1">
      <c r="A899" s="39"/>
      <c r="B899" s="40"/>
      <c r="H899" s="38"/>
      <c r="K899" s="38"/>
    </row>
    <row r="900" spans="1:11" ht="15.75" customHeight="1">
      <c r="A900" s="39"/>
      <c r="B900" s="40"/>
      <c r="H900" s="38"/>
      <c r="K900" s="38"/>
    </row>
    <row r="901" spans="1:11" ht="15.75" customHeight="1">
      <c r="A901" s="39"/>
      <c r="B901" s="40"/>
      <c r="H901" s="38"/>
      <c r="K901" s="38"/>
    </row>
    <row r="902" spans="1:11" ht="15.75" customHeight="1">
      <c r="A902" s="39"/>
      <c r="B902" s="40"/>
      <c r="H902" s="38"/>
      <c r="K902" s="38"/>
    </row>
    <row r="903" spans="1:11" ht="15.75" customHeight="1">
      <c r="A903" s="39"/>
      <c r="B903" s="40"/>
      <c r="H903" s="38"/>
      <c r="K903" s="38"/>
    </row>
    <row r="904" spans="1:11" ht="15.75" customHeight="1">
      <c r="A904" s="39"/>
      <c r="B904" s="40"/>
      <c r="H904" s="38"/>
      <c r="K904" s="38"/>
    </row>
    <row r="905" spans="1:11" ht="15.75" customHeight="1">
      <c r="A905" s="39"/>
      <c r="B905" s="40"/>
      <c r="H905" s="38"/>
      <c r="K905" s="38"/>
    </row>
    <row r="906" spans="1:11" ht="15.75" customHeight="1">
      <c r="A906" s="39"/>
      <c r="B906" s="40"/>
      <c r="H906" s="38"/>
      <c r="K906" s="38"/>
    </row>
    <row r="907" spans="1:11" ht="15.75" customHeight="1">
      <c r="A907" s="39"/>
      <c r="B907" s="40"/>
      <c r="H907" s="38"/>
      <c r="K907" s="38"/>
    </row>
    <row r="908" spans="1:11" ht="15.75" customHeight="1">
      <c r="A908" s="39"/>
      <c r="B908" s="40"/>
      <c r="H908" s="38"/>
      <c r="K908" s="38"/>
    </row>
    <row r="909" spans="1:11" ht="15.75" customHeight="1">
      <c r="A909" s="39"/>
      <c r="B909" s="40"/>
      <c r="H909" s="38"/>
      <c r="K909" s="38"/>
    </row>
    <row r="910" spans="1:11" ht="15.75" customHeight="1">
      <c r="A910" s="39"/>
      <c r="B910" s="40"/>
      <c r="H910" s="38"/>
      <c r="K910" s="38"/>
    </row>
    <row r="911" spans="1:11" ht="15.75" customHeight="1">
      <c r="A911" s="39"/>
      <c r="B911" s="40"/>
      <c r="H911" s="38"/>
      <c r="K911" s="38"/>
    </row>
    <row r="912" spans="1:11" ht="15.75" customHeight="1">
      <c r="A912" s="39"/>
      <c r="B912" s="40"/>
      <c r="H912" s="38"/>
      <c r="K912" s="38"/>
    </row>
    <row r="913" spans="1:11" ht="15.75" customHeight="1">
      <c r="A913" s="39"/>
      <c r="B913" s="40"/>
      <c r="H913" s="38"/>
      <c r="K913" s="38"/>
    </row>
    <row r="914" spans="1:11" ht="15.75" customHeight="1">
      <c r="A914" s="39"/>
      <c r="B914" s="40"/>
      <c r="H914" s="38"/>
      <c r="K914" s="38"/>
    </row>
    <row r="915" spans="1:11" ht="15.75" customHeight="1">
      <c r="A915" s="39"/>
      <c r="B915" s="40"/>
      <c r="H915" s="38"/>
      <c r="K915" s="38"/>
    </row>
    <row r="916" spans="1:11" ht="15.75" customHeight="1">
      <c r="A916" s="39"/>
      <c r="B916" s="40"/>
      <c r="H916" s="38"/>
      <c r="K916" s="38"/>
    </row>
    <row r="917" spans="1:11" ht="15.75" customHeight="1">
      <c r="A917" s="39"/>
      <c r="B917" s="40"/>
      <c r="H917" s="38"/>
      <c r="K917" s="38"/>
    </row>
    <row r="918" spans="1:11" ht="15.75" customHeight="1">
      <c r="A918" s="39"/>
      <c r="B918" s="40"/>
      <c r="H918" s="38"/>
      <c r="K918" s="38"/>
    </row>
    <row r="919" spans="1:11" ht="15.75" customHeight="1">
      <c r="A919" s="39"/>
      <c r="B919" s="40"/>
      <c r="H919" s="38"/>
      <c r="K919" s="38"/>
    </row>
    <row r="920" spans="1:11" ht="15.75" customHeight="1">
      <c r="A920" s="39"/>
      <c r="B920" s="40"/>
      <c r="H920" s="38"/>
      <c r="K920" s="38"/>
    </row>
    <row r="921" spans="1:11" ht="15.75" customHeight="1">
      <c r="A921" s="39"/>
      <c r="B921" s="40"/>
      <c r="H921" s="38"/>
      <c r="K921" s="38"/>
    </row>
    <row r="922" spans="1:11" ht="15.75" customHeight="1">
      <c r="A922" s="39"/>
      <c r="B922" s="40"/>
      <c r="H922" s="38"/>
      <c r="K922" s="38"/>
    </row>
    <row r="923" spans="1:11" ht="15.75" customHeight="1">
      <c r="A923" s="39"/>
      <c r="B923" s="40"/>
      <c r="H923" s="38"/>
      <c r="K923" s="38"/>
    </row>
    <row r="924" spans="1:11" ht="15.75" customHeight="1">
      <c r="A924" s="39"/>
      <c r="B924" s="40"/>
      <c r="H924" s="38"/>
      <c r="K924" s="38"/>
    </row>
    <row r="925" spans="1:11" ht="15.75" customHeight="1">
      <c r="A925" s="39"/>
      <c r="B925" s="40"/>
      <c r="H925" s="38"/>
      <c r="K925" s="38"/>
    </row>
    <row r="926" spans="1:11" ht="15.75" customHeight="1">
      <c r="A926" s="39"/>
      <c r="B926" s="40"/>
      <c r="H926" s="38"/>
      <c r="K926" s="38"/>
    </row>
    <row r="927" spans="1:11" ht="15.75" customHeight="1">
      <c r="A927" s="39"/>
      <c r="B927" s="40"/>
      <c r="H927" s="38"/>
      <c r="K927" s="38"/>
    </row>
    <row r="928" spans="1:11" ht="15.75" customHeight="1">
      <c r="A928" s="39"/>
      <c r="B928" s="40"/>
      <c r="H928" s="38"/>
      <c r="K928" s="38"/>
    </row>
    <row r="929" spans="1:11" ht="15.75" customHeight="1">
      <c r="A929" s="39"/>
      <c r="B929" s="40"/>
      <c r="H929" s="38"/>
      <c r="K929" s="38"/>
    </row>
    <row r="930" spans="1:11" ht="15.75" customHeight="1">
      <c r="A930" s="39"/>
      <c r="B930" s="40"/>
      <c r="H930" s="38"/>
      <c r="K930" s="38"/>
    </row>
    <row r="931" spans="1:11" ht="15.75" customHeight="1">
      <c r="A931" s="39"/>
      <c r="B931" s="40"/>
      <c r="H931" s="38"/>
      <c r="K931" s="38"/>
    </row>
    <row r="932" spans="1:11" ht="15.75" customHeight="1">
      <c r="A932" s="39"/>
      <c r="B932" s="40"/>
      <c r="H932" s="38"/>
      <c r="K932" s="38"/>
    </row>
    <row r="933" spans="1:11" ht="15.75" customHeight="1">
      <c r="A933" s="39"/>
      <c r="B933" s="40"/>
      <c r="H933" s="38"/>
      <c r="K933" s="38"/>
    </row>
    <row r="934" spans="1:11" ht="15.75" customHeight="1">
      <c r="A934" s="39"/>
      <c r="B934" s="40"/>
      <c r="H934" s="38"/>
      <c r="K934" s="38"/>
    </row>
    <row r="935" spans="1:11" ht="15.75" customHeight="1">
      <c r="A935" s="39"/>
      <c r="B935" s="40"/>
      <c r="H935" s="38"/>
      <c r="K935" s="38"/>
    </row>
    <row r="936" spans="1:11" ht="15.75" customHeight="1">
      <c r="A936" s="39"/>
      <c r="B936" s="40"/>
      <c r="H936" s="38"/>
      <c r="K936" s="38"/>
    </row>
    <row r="937" spans="1:11" ht="15.75" customHeight="1">
      <c r="A937" s="39"/>
      <c r="B937" s="40"/>
      <c r="H937" s="38"/>
      <c r="K937" s="38"/>
    </row>
    <row r="938" spans="1:11" ht="15.75" customHeight="1">
      <c r="A938" s="39"/>
      <c r="B938" s="40"/>
      <c r="H938" s="38"/>
      <c r="K938" s="38"/>
    </row>
    <row r="939" spans="1:11" ht="15.75" customHeight="1">
      <c r="A939" s="39"/>
      <c r="B939" s="40"/>
      <c r="H939" s="38"/>
      <c r="K939" s="38"/>
    </row>
    <row r="940" spans="1:11" ht="15.75" customHeight="1">
      <c r="A940" s="39"/>
      <c r="B940" s="40"/>
      <c r="H940" s="38"/>
      <c r="K940" s="38"/>
    </row>
    <row r="941" spans="1:11" ht="15.75" customHeight="1">
      <c r="A941" s="39"/>
      <c r="B941" s="40"/>
      <c r="H941" s="38"/>
      <c r="K941" s="38"/>
    </row>
    <row r="942" spans="1:11" ht="15.75" customHeight="1">
      <c r="A942" s="39"/>
      <c r="B942" s="40"/>
      <c r="H942" s="38"/>
      <c r="K942" s="38"/>
    </row>
    <row r="943" spans="1:11" ht="15.75" customHeight="1">
      <c r="A943" s="39"/>
      <c r="B943" s="40"/>
      <c r="H943" s="38"/>
      <c r="K943" s="38"/>
    </row>
    <row r="944" spans="1:11" ht="15.75" customHeight="1">
      <c r="A944" s="39"/>
      <c r="B944" s="40"/>
      <c r="H944" s="38"/>
      <c r="K944" s="38"/>
    </row>
    <row r="945" spans="1:11" ht="15.75" customHeight="1">
      <c r="A945" s="39"/>
      <c r="B945" s="40"/>
      <c r="H945" s="38"/>
      <c r="K945" s="38"/>
    </row>
    <row r="946" spans="1:11" ht="15.75" customHeight="1">
      <c r="A946" s="39"/>
      <c r="B946" s="40"/>
      <c r="H946" s="38"/>
      <c r="K946" s="38"/>
    </row>
    <row r="947" spans="1:11" ht="15.75" customHeight="1">
      <c r="A947" s="39"/>
      <c r="B947" s="40"/>
      <c r="H947" s="38"/>
      <c r="K947" s="38"/>
    </row>
    <row r="948" spans="1:11" ht="15.75" customHeight="1">
      <c r="A948" s="39"/>
      <c r="B948" s="40"/>
      <c r="H948" s="38"/>
      <c r="K948" s="38"/>
    </row>
    <row r="949" spans="1:11" ht="15.75" customHeight="1">
      <c r="A949" s="39"/>
      <c r="B949" s="40"/>
      <c r="H949" s="38"/>
      <c r="K949" s="38"/>
    </row>
    <row r="950" spans="1:11" ht="15.75" customHeight="1">
      <c r="A950" s="39"/>
      <c r="B950" s="40"/>
      <c r="H950" s="38"/>
      <c r="K950" s="38"/>
    </row>
    <row r="951" spans="1:11" ht="15.75" customHeight="1">
      <c r="A951" s="39"/>
      <c r="B951" s="40"/>
      <c r="H951" s="38"/>
      <c r="K951" s="38"/>
    </row>
    <row r="952" spans="1:11" ht="15.75" customHeight="1">
      <c r="A952" s="39"/>
      <c r="B952" s="40"/>
      <c r="H952" s="38"/>
      <c r="K952" s="38"/>
    </row>
    <row r="953" spans="1:11" ht="15.75" customHeight="1">
      <c r="A953" s="39"/>
      <c r="B953" s="40"/>
      <c r="H953" s="38"/>
      <c r="K953" s="38"/>
    </row>
    <row r="954" spans="1:11" ht="15.75" customHeight="1">
      <c r="A954" s="39"/>
      <c r="B954" s="40"/>
      <c r="H954" s="38"/>
      <c r="K954" s="38"/>
    </row>
    <row r="955" spans="1:11" ht="15.75" customHeight="1">
      <c r="A955" s="39"/>
      <c r="B955" s="40"/>
      <c r="H955" s="38"/>
      <c r="K955" s="38"/>
    </row>
    <row r="956" spans="1:11" ht="15.75" customHeight="1">
      <c r="A956" s="39"/>
      <c r="B956" s="40"/>
      <c r="H956" s="38"/>
      <c r="K956" s="38"/>
    </row>
    <row r="957" spans="1:11" ht="15.75" customHeight="1">
      <c r="A957" s="39"/>
      <c r="B957" s="40"/>
      <c r="H957" s="38"/>
      <c r="K957" s="38"/>
    </row>
    <row r="958" spans="1:11" ht="15.75" customHeight="1">
      <c r="A958" s="39"/>
      <c r="B958" s="40"/>
      <c r="H958" s="38"/>
      <c r="K958" s="38"/>
    </row>
    <row r="959" spans="1:11" ht="15.75" customHeight="1">
      <c r="A959" s="39"/>
      <c r="B959" s="40"/>
      <c r="H959" s="38"/>
      <c r="K959" s="38"/>
    </row>
    <row r="960" spans="1:11" ht="15.75" customHeight="1">
      <c r="A960" s="39"/>
      <c r="B960" s="40"/>
      <c r="H960" s="38"/>
      <c r="K960" s="38"/>
    </row>
    <row r="961" spans="1:11" ht="15.75" customHeight="1">
      <c r="A961" s="39"/>
      <c r="B961" s="40"/>
      <c r="H961" s="38"/>
      <c r="K961" s="38"/>
    </row>
    <row r="962" spans="1:11" ht="15.75" customHeight="1">
      <c r="A962" s="39"/>
      <c r="B962" s="40"/>
      <c r="H962" s="38"/>
      <c r="K962" s="38"/>
    </row>
    <row r="963" spans="1:11" ht="15.75" customHeight="1">
      <c r="A963" s="39"/>
      <c r="B963" s="40"/>
      <c r="H963" s="38"/>
      <c r="K963" s="38"/>
    </row>
    <row r="964" spans="1:11" ht="15.75" customHeight="1">
      <c r="A964" s="39"/>
      <c r="B964" s="40"/>
      <c r="H964" s="38"/>
      <c r="K964" s="38"/>
    </row>
    <row r="965" spans="1:11" ht="15.75" customHeight="1">
      <c r="A965" s="39"/>
      <c r="B965" s="40"/>
      <c r="H965" s="38"/>
      <c r="K965" s="38"/>
    </row>
    <row r="966" spans="1:11" ht="15.75" customHeight="1">
      <c r="A966" s="39"/>
      <c r="B966" s="40"/>
      <c r="H966" s="38"/>
      <c r="K966" s="38"/>
    </row>
    <row r="967" spans="1:11" ht="15.75" customHeight="1">
      <c r="A967" s="39"/>
      <c r="B967" s="40"/>
      <c r="H967" s="38"/>
      <c r="K967" s="38"/>
    </row>
    <row r="968" spans="1:11" ht="15.75" customHeight="1">
      <c r="A968" s="39"/>
      <c r="B968" s="40"/>
      <c r="H968" s="38"/>
      <c r="K968" s="38"/>
    </row>
    <row r="969" spans="1:11" ht="15.75" customHeight="1">
      <c r="A969" s="39"/>
      <c r="B969" s="40"/>
      <c r="H969" s="38"/>
      <c r="K969" s="38"/>
    </row>
    <row r="970" spans="1:11" ht="15.75" customHeight="1">
      <c r="A970" s="39"/>
      <c r="B970" s="40"/>
      <c r="H970" s="38"/>
      <c r="K970" s="38"/>
    </row>
    <row r="971" spans="1:11" ht="15.75" customHeight="1">
      <c r="A971" s="39"/>
      <c r="B971" s="40"/>
      <c r="H971" s="38"/>
      <c r="K971" s="38"/>
    </row>
    <row r="972" spans="1:11" ht="15.75" customHeight="1">
      <c r="A972" s="39"/>
      <c r="B972" s="40"/>
      <c r="H972" s="38"/>
      <c r="K972" s="38"/>
    </row>
    <row r="973" spans="1:11" ht="15.75" customHeight="1">
      <c r="A973" s="39"/>
      <c r="B973" s="40"/>
      <c r="H973" s="38"/>
      <c r="K973" s="38"/>
    </row>
    <row r="974" spans="1:11" ht="15.75" customHeight="1">
      <c r="A974" s="39"/>
      <c r="B974" s="40"/>
      <c r="H974" s="38"/>
      <c r="K974" s="38"/>
    </row>
    <row r="975" spans="1:11" ht="15.75" customHeight="1">
      <c r="A975" s="39"/>
      <c r="B975" s="40"/>
      <c r="H975" s="38"/>
      <c r="K975" s="38"/>
    </row>
    <row r="976" spans="1:11" ht="15.75" customHeight="1">
      <c r="A976" s="39"/>
      <c r="B976" s="40"/>
      <c r="H976" s="38"/>
      <c r="K976" s="38"/>
    </row>
    <row r="977" spans="1:11" ht="15.75" customHeight="1">
      <c r="A977" s="39"/>
      <c r="B977" s="40"/>
      <c r="H977" s="38"/>
      <c r="K977" s="38"/>
    </row>
    <row r="978" spans="1:11" ht="15.75" customHeight="1">
      <c r="A978" s="39"/>
      <c r="B978" s="40"/>
      <c r="H978" s="38"/>
      <c r="K978" s="38"/>
    </row>
    <row r="979" spans="1:11" ht="15.75" customHeight="1">
      <c r="A979" s="39"/>
      <c r="B979" s="40"/>
      <c r="H979" s="38"/>
      <c r="K979" s="38"/>
    </row>
    <row r="980" spans="1:11" ht="15.75" customHeight="1">
      <c r="A980" s="39"/>
      <c r="B980" s="40"/>
      <c r="H980" s="38"/>
      <c r="K980" s="38"/>
    </row>
    <row r="981" spans="1:11" ht="15.75" customHeight="1">
      <c r="A981" s="39"/>
      <c r="B981" s="40"/>
      <c r="H981" s="38"/>
      <c r="K981" s="38"/>
    </row>
    <row r="982" spans="1:11" ht="15.75" customHeight="1">
      <c r="A982" s="39"/>
      <c r="B982" s="40"/>
      <c r="H982" s="38"/>
      <c r="K982" s="38"/>
    </row>
    <row r="983" spans="1:11" ht="15.75" customHeight="1">
      <c r="A983" s="39"/>
      <c r="B983" s="40"/>
      <c r="H983" s="38"/>
      <c r="K983" s="38"/>
    </row>
    <row r="984" spans="1:11" ht="15.75" customHeight="1">
      <c r="A984" s="39"/>
      <c r="B984" s="40"/>
      <c r="H984" s="38"/>
      <c r="K984" s="38"/>
    </row>
    <row r="985" spans="1:11" ht="15.75" customHeight="1">
      <c r="A985" s="39"/>
      <c r="B985" s="40"/>
      <c r="H985" s="38"/>
      <c r="K985" s="38"/>
    </row>
    <row r="986" spans="1:11" ht="15.75" customHeight="1">
      <c r="A986" s="39"/>
      <c r="B986" s="40"/>
      <c r="H986" s="38"/>
      <c r="K986" s="38"/>
    </row>
    <row r="987" spans="1:11" ht="15.75" customHeight="1">
      <c r="A987" s="39"/>
      <c r="B987" s="40"/>
      <c r="H987" s="38"/>
      <c r="K987" s="38"/>
    </row>
    <row r="988" spans="1:11" ht="15.75" customHeight="1">
      <c r="A988" s="39"/>
      <c r="B988" s="40"/>
      <c r="H988" s="38"/>
      <c r="K988" s="38"/>
    </row>
    <row r="989" spans="1:11" ht="15.75" customHeight="1">
      <c r="A989" s="39"/>
      <c r="B989" s="40"/>
      <c r="H989" s="38"/>
      <c r="K989" s="38"/>
    </row>
    <row r="990" spans="1:11" ht="15.75" customHeight="1">
      <c r="A990" s="39"/>
      <c r="B990" s="40"/>
      <c r="H990" s="38"/>
      <c r="K990" s="38"/>
    </row>
    <row r="991" spans="1:11" ht="15.75" customHeight="1">
      <c r="A991" s="39"/>
      <c r="B991" s="40"/>
      <c r="H991" s="38"/>
      <c r="K991" s="38"/>
    </row>
    <row r="992" spans="1:11" ht="15.75" customHeight="1">
      <c r="A992" s="39"/>
      <c r="B992" s="40"/>
      <c r="H992" s="38"/>
      <c r="K992" s="38"/>
    </row>
    <row r="993" spans="1:11" ht="15.75" customHeight="1">
      <c r="A993" s="39"/>
      <c r="B993" s="40"/>
      <c r="H993" s="38"/>
      <c r="K993" s="38"/>
    </row>
    <row r="994" spans="1:11" ht="15.75" customHeight="1">
      <c r="A994" s="39"/>
      <c r="B994" s="40"/>
      <c r="H994" s="38"/>
      <c r="K994" s="38"/>
    </row>
    <row r="995" spans="1:11" ht="15.75" customHeight="1">
      <c r="A995" s="39"/>
      <c r="B995" s="40"/>
      <c r="H995" s="38"/>
      <c r="K995" s="38"/>
    </row>
    <row r="996" spans="1:11" ht="15.75" customHeight="1">
      <c r="A996" s="39"/>
      <c r="B996" s="40"/>
      <c r="H996" s="38"/>
      <c r="K996" s="38"/>
    </row>
    <row r="997" spans="1:11" ht="15.75" customHeight="1">
      <c r="A997" s="39"/>
      <c r="B997" s="40"/>
      <c r="H997" s="38"/>
      <c r="K997" s="38"/>
    </row>
    <row r="998" spans="1:11" ht="15.75" customHeight="1">
      <c r="A998" s="39"/>
      <c r="B998" s="40"/>
      <c r="H998" s="38"/>
      <c r="K998" s="38"/>
    </row>
    <row r="999" spans="1:11" ht="15.75" customHeight="1">
      <c r="A999" s="39"/>
      <c r="B999" s="40"/>
      <c r="H999" s="38"/>
      <c r="K999" s="38"/>
    </row>
    <row r="1000" spans="1:11" ht="15.75" customHeight="1">
      <c r="A1000" s="39"/>
      <c r="B1000" s="40"/>
      <c r="H1000" s="38"/>
      <c r="K1000" s="38"/>
    </row>
    <row r="1001" spans="1:11" ht="15.75" customHeight="1">
      <c r="A1001" s="39"/>
      <c r="B1001" s="40"/>
      <c r="H1001" s="38"/>
      <c r="K1001" s="38"/>
    </row>
  </sheetData>
  <mergeCells count="1">
    <mergeCell ref="A1:B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view="pageBreakPreview" zoomScale="92" zoomScaleNormal="100" zoomScaleSheetLayoutView="92" workbookViewId="0">
      <selection activeCell="D29" sqref="D29"/>
    </sheetView>
  </sheetViews>
  <sheetFormatPr defaultColWidth="14.42578125" defaultRowHeight="15" customHeight="1"/>
  <cols>
    <col min="1" max="1" width="31" customWidth="1"/>
    <col min="2" max="2" width="20.5703125" customWidth="1"/>
    <col min="3" max="5" width="8.7109375" customWidth="1"/>
    <col min="6" max="6" width="16.28515625" customWidth="1"/>
    <col min="7" max="7" width="22.7109375" customWidth="1"/>
    <col min="8" max="8" width="13.5703125" customWidth="1"/>
    <col min="9" max="9" width="4.5703125" customWidth="1"/>
    <col min="10" max="10" width="17" customWidth="1"/>
    <col min="11" max="11" width="17.42578125" customWidth="1"/>
    <col min="12" max="26" width="8.7109375" customWidth="1"/>
  </cols>
  <sheetData>
    <row r="1" spans="1:11">
      <c r="A1" s="75" t="s">
        <v>36</v>
      </c>
      <c r="B1" s="64"/>
      <c r="D1" s="37" t="s">
        <v>37</v>
      </c>
      <c r="H1" s="38"/>
      <c r="K1" s="38"/>
    </row>
    <row r="2" spans="1:11">
      <c r="A2" s="39" t="s">
        <v>36</v>
      </c>
      <c r="B2" s="40"/>
      <c r="D2" s="37" t="s">
        <v>38</v>
      </c>
      <c r="H2" s="38"/>
      <c r="K2" s="38"/>
    </row>
    <row r="3" spans="1:11" ht="18.75" customHeight="1">
      <c r="A3" s="41" t="s">
        <v>39</v>
      </c>
      <c r="B3" s="42">
        <f>'with surcharge'!B3</f>
        <v>3586.8768</v>
      </c>
      <c r="D3" s="37" t="s">
        <v>40</v>
      </c>
      <c r="H3" s="38"/>
      <c r="K3" s="38"/>
    </row>
    <row r="4" spans="1:11" ht="22.5" customHeight="1">
      <c r="A4" s="41" t="s">
        <v>41</v>
      </c>
      <c r="B4" s="48">
        <v>2017</v>
      </c>
      <c r="D4" s="37" t="s">
        <v>42</v>
      </c>
      <c r="H4" s="38"/>
      <c r="K4" s="38"/>
    </row>
    <row r="5" spans="1:11" ht="24" customHeight="1">
      <c r="A5" s="41" t="s">
        <v>43</v>
      </c>
      <c r="B5" s="44"/>
      <c r="D5" s="37" t="s">
        <v>44</v>
      </c>
      <c r="G5" s="39"/>
      <c r="H5" s="39"/>
      <c r="K5" s="38"/>
    </row>
    <row r="6" spans="1:11" ht="19.5" customHeight="1">
      <c r="A6" s="41" t="s">
        <v>45</v>
      </c>
      <c r="B6" s="42">
        <f>+B5*B3</f>
        <v>0</v>
      </c>
      <c r="D6" s="37" t="s">
        <v>46</v>
      </c>
      <c r="G6" s="39"/>
      <c r="H6" s="38"/>
      <c r="K6" s="38"/>
    </row>
    <row r="7" spans="1:11" ht="16.5" customHeight="1">
      <c r="A7" s="41"/>
      <c r="B7" s="42"/>
      <c r="D7" s="37" t="s">
        <v>47</v>
      </c>
      <c r="H7" s="38"/>
      <c r="J7" s="76"/>
      <c r="K7" s="64"/>
    </row>
    <row r="8" spans="1:11" s="55" customFormat="1" ht="16.5" customHeight="1">
      <c r="A8" s="41" t="s">
        <v>63</v>
      </c>
      <c r="B8" s="42">
        <f>B6*1%</f>
        <v>0</v>
      </c>
      <c r="D8" s="37"/>
      <c r="H8" s="38"/>
      <c r="J8" s="56"/>
    </row>
    <row r="9" spans="1:11" ht="21" customHeight="1">
      <c r="A9" s="41" t="s">
        <v>48</v>
      </c>
      <c r="B9" s="42">
        <f>25%*B6</f>
        <v>0</v>
      </c>
      <c r="G9" s="45"/>
      <c r="H9" s="49"/>
      <c r="J9" s="39"/>
      <c r="K9" s="49"/>
    </row>
    <row r="10" spans="1:11" ht="22.5" customHeight="1">
      <c r="A10" s="41" t="s">
        <v>49</v>
      </c>
      <c r="B10" s="42">
        <f>(B9+B6)*18%</f>
        <v>0</v>
      </c>
      <c r="G10" s="39"/>
      <c r="H10" s="49"/>
      <c r="J10" s="39"/>
      <c r="K10" s="49"/>
    </row>
    <row r="11" spans="1:11" ht="25.5" customHeight="1">
      <c r="A11" s="41" t="s">
        <v>50</v>
      </c>
      <c r="B11" s="42">
        <f>6%*B6</f>
        <v>0</v>
      </c>
      <c r="F11" s="39"/>
      <c r="G11" s="39"/>
      <c r="H11" s="49"/>
      <c r="J11" s="39"/>
      <c r="K11" s="49"/>
    </row>
    <row r="12" spans="1:11" ht="24" customHeight="1">
      <c r="A12" s="41" t="s">
        <v>51</v>
      </c>
      <c r="B12" s="42"/>
      <c r="F12" s="39"/>
      <c r="G12" s="46"/>
      <c r="H12" s="38"/>
      <c r="K12" s="38"/>
    </row>
    <row r="13" spans="1:11" ht="24" customHeight="1">
      <c r="A13" s="41" t="s">
        <v>52</v>
      </c>
      <c r="B13" s="42">
        <v>1500000</v>
      </c>
      <c r="F13" s="39"/>
      <c r="G13" s="46"/>
      <c r="H13" s="38"/>
      <c r="J13" s="39"/>
      <c r="K13" s="49"/>
    </row>
    <row r="14" spans="1:11" ht="24" customHeight="1">
      <c r="A14" s="41" t="s">
        <v>53</v>
      </c>
      <c r="B14" s="42">
        <v>18000</v>
      </c>
      <c r="F14" s="39"/>
      <c r="G14" s="46"/>
      <c r="H14" s="38"/>
      <c r="K14" s="38"/>
    </row>
    <row r="15" spans="1:11" ht="24" customHeight="1">
      <c r="A15" s="41" t="s">
        <v>54</v>
      </c>
      <c r="B15" s="42">
        <v>35000</v>
      </c>
      <c r="F15" s="39"/>
      <c r="G15" s="46"/>
      <c r="H15" s="38"/>
      <c r="K15" s="38"/>
    </row>
    <row r="16" spans="1:11" ht="24" customHeight="1">
      <c r="A16" s="41" t="s">
        <v>55</v>
      </c>
      <c r="B16" s="42">
        <f>1.5%*B6</f>
        <v>0</v>
      </c>
      <c r="F16" s="39"/>
      <c r="G16" s="46"/>
      <c r="H16" s="38"/>
      <c r="K16" s="38"/>
    </row>
    <row r="17" spans="1:11">
      <c r="A17" s="41" t="s">
        <v>56</v>
      </c>
      <c r="B17" s="47">
        <f>SUM(B8:B16)</f>
        <v>1553000</v>
      </c>
      <c r="F17" s="39"/>
      <c r="G17" s="46"/>
      <c r="H17" s="50"/>
      <c r="K17" s="38"/>
    </row>
    <row r="18" spans="1:11">
      <c r="A18" s="39"/>
      <c r="B18" s="40"/>
      <c r="F18" s="39"/>
      <c r="G18" s="46"/>
      <c r="H18" s="49"/>
      <c r="K18" s="38"/>
    </row>
    <row r="19" spans="1:11">
      <c r="A19" s="39"/>
      <c r="B19" s="40"/>
      <c r="F19" s="39"/>
      <c r="G19" s="46"/>
      <c r="H19" s="38"/>
      <c r="K19" s="38"/>
    </row>
    <row r="20" spans="1:11">
      <c r="A20" s="39"/>
      <c r="B20" s="40"/>
      <c r="G20" s="46"/>
      <c r="H20" s="38"/>
      <c r="K20" s="38"/>
    </row>
    <row r="21" spans="1:11">
      <c r="A21" s="39"/>
      <c r="B21" s="40"/>
      <c r="G21" s="46"/>
      <c r="H21" s="49"/>
      <c r="K21" s="38"/>
    </row>
    <row r="22" spans="1:11" ht="15.75" customHeight="1">
      <c r="A22" s="39"/>
      <c r="B22" s="40"/>
      <c r="H22" s="38"/>
      <c r="K22" s="38"/>
    </row>
    <row r="23" spans="1:11" ht="15.75" customHeight="1">
      <c r="A23" s="39"/>
      <c r="B23" s="40"/>
      <c r="G23" s="46"/>
      <c r="H23" s="38"/>
      <c r="K23" s="38"/>
    </row>
    <row r="24" spans="1:11" ht="15.75" customHeight="1">
      <c r="A24" s="39"/>
      <c r="B24" s="40"/>
      <c r="G24" s="46"/>
      <c r="H24" s="49"/>
      <c r="K24" s="38"/>
    </row>
    <row r="25" spans="1:11" ht="15.75" customHeight="1">
      <c r="A25" s="39"/>
      <c r="B25" s="40"/>
      <c r="H25" s="38"/>
      <c r="K25" s="38"/>
    </row>
    <row r="26" spans="1:11" ht="15.75" customHeight="1">
      <c r="A26" s="39"/>
      <c r="B26" s="40"/>
      <c r="H26" s="38"/>
      <c r="K26" s="38"/>
    </row>
    <row r="27" spans="1:11" ht="15.75" customHeight="1">
      <c r="A27" s="39"/>
      <c r="B27" s="40"/>
      <c r="H27" s="38"/>
      <c r="K27" s="38"/>
    </row>
    <row r="28" spans="1:11" ht="15.75" customHeight="1">
      <c r="A28" s="39"/>
      <c r="B28" s="40"/>
      <c r="H28" s="38"/>
      <c r="K28" s="38"/>
    </row>
    <row r="29" spans="1:11" ht="15.75" customHeight="1">
      <c r="A29" s="39"/>
      <c r="B29" s="40"/>
      <c r="H29" s="38"/>
      <c r="K29" s="38"/>
    </row>
    <row r="30" spans="1:11" ht="15.75" customHeight="1">
      <c r="A30" s="39"/>
      <c r="B30" s="40"/>
      <c r="H30" s="38"/>
      <c r="K30" s="38"/>
    </row>
    <row r="31" spans="1:11" ht="15.75" customHeight="1">
      <c r="A31" s="39"/>
      <c r="B31" s="40"/>
      <c r="H31" s="38"/>
      <c r="K31" s="38"/>
    </row>
    <row r="32" spans="1:11" ht="15.75" customHeight="1">
      <c r="A32" s="39"/>
      <c r="B32" s="40"/>
      <c r="H32" s="38"/>
      <c r="K32" s="38"/>
    </row>
    <row r="33" spans="1:11" ht="15.75" customHeight="1">
      <c r="A33" s="39"/>
      <c r="B33" s="40"/>
      <c r="H33" s="38"/>
      <c r="K33" s="38"/>
    </row>
    <row r="34" spans="1:11" ht="15.75" customHeight="1">
      <c r="A34" s="39"/>
      <c r="B34" s="40"/>
      <c r="H34" s="38"/>
      <c r="K34" s="38"/>
    </row>
    <row r="35" spans="1:11" ht="15.75" customHeight="1">
      <c r="A35" s="39"/>
      <c r="B35" s="40"/>
      <c r="H35" s="38"/>
      <c r="K35" s="38"/>
    </row>
    <row r="36" spans="1:11" ht="15.75" customHeight="1">
      <c r="A36" s="39"/>
      <c r="B36" s="40"/>
      <c r="H36" s="38"/>
      <c r="K36" s="38"/>
    </row>
    <row r="37" spans="1:11" ht="15.75" customHeight="1">
      <c r="A37" s="39"/>
      <c r="B37" s="40"/>
      <c r="H37" s="38"/>
      <c r="K37" s="38"/>
    </row>
    <row r="38" spans="1:11" ht="15.75" customHeight="1">
      <c r="A38" s="39"/>
      <c r="B38" s="40"/>
      <c r="H38" s="38"/>
      <c r="K38" s="38"/>
    </row>
    <row r="39" spans="1:11" ht="15.75" customHeight="1">
      <c r="A39" s="39"/>
      <c r="B39" s="40"/>
      <c r="H39" s="38"/>
      <c r="K39" s="38"/>
    </row>
    <row r="40" spans="1:11" ht="15.75" customHeight="1">
      <c r="A40" s="39"/>
      <c r="B40" s="40"/>
      <c r="H40" s="38"/>
      <c r="K40" s="38"/>
    </row>
    <row r="41" spans="1:11" ht="15.75" customHeight="1">
      <c r="A41" s="39"/>
      <c r="B41" s="40"/>
      <c r="H41" s="38"/>
      <c r="K41" s="38"/>
    </row>
    <row r="42" spans="1:11" ht="15.75" customHeight="1">
      <c r="A42" s="39"/>
      <c r="B42" s="40"/>
      <c r="H42" s="38"/>
      <c r="K42" s="38"/>
    </row>
    <row r="43" spans="1:11" ht="15.75" customHeight="1">
      <c r="A43" s="39"/>
      <c r="B43" s="40"/>
      <c r="H43" s="38"/>
      <c r="K43" s="38"/>
    </row>
    <row r="44" spans="1:11" ht="15.75" customHeight="1">
      <c r="A44" s="39"/>
      <c r="B44" s="40"/>
      <c r="H44" s="38"/>
      <c r="K44" s="38"/>
    </row>
    <row r="45" spans="1:11" ht="15.75" customHeight="1">
      <c r="A45" s="39"/>
      <c r="B45" s="40"/>
      <c r="H45" s="38"/>
      <c r="K45" s="38"/>
    </row>
    <row r="46" spans="1:11" ht="15.75" customHeight="1">
      <c r="A46" s="39"/>
      <c r="B46" s="40"/>
      <c r="H46" s="38"/>
      <c r="K46" s="38"/>
    </row>
    <row r="47" spans="1:11" ht="15.75" customHeight="1">
      <c r="A47" s="39"/>
      <c r="B47" s="40"/>
      <c r="H47" s="38"/>
      <c r="K47" s="38"/>
    </row>
    <row r="48" spans="1:11" ht="15.75" customHeight="1">
      <c r="A48" s="39"/>
      <c r="B48" s="40"/>
      <c r="H48" s="38"/>
      <c r="K48" s="38"/>
    </row>
    <row r="49" spans="1:11" ht="15.75" customHeight="1">
      <c r="A49" s="39"/>
      <c r="B49" s="40"/>
      <c r="H49" s="38"/>
      <c r="K49" s="38"/>
    </row>
    <row r="50" spans="1:11" ht="15.75" customHeight="1">
      <c r="A50" s="39"/>
      <c r="B50" s="40"/>
      <c r="H50" s="38"/>
      <c r="K50" s="38"/>
    </row>
    <row r="51" spans="1:11" ht="15.75" customHeight="1">
      <c r="A51" s="39"/>
      <c r="B51" s="40"/>
      <c r="H51" s="38"/>
      <c r="K51" s="38"/>
    </row>
    <row r="52" spans="1:11" ht="15.75" customHeight="1">
      <c r="A52" s="39"/>
      <c r="B52" s="40"/>
      <c r="H52" s="38"/>
      <c r="K52" s="38"/>
    </row>
    <row r="53" spans="1:11" ht="15.75" customHeight="1">
      <c r="A53" s="39"/>
      <c r="B53" s="40"/>
      <c r="H53" s="38"/>
      <c r="K53" s="38"/>
    </row>
    <row r="54" spans="1:11" ht="15.75" customHeight="1">
      <c r="A54" s="39"/>
      <c r="B54" s="40"/>
      <c r="H54" s="38"/>
      <c r="K54" s="38"/>
    </row>
    <row r="55" spans="1:11" ht="15.75" customHeight="1">
      <c r="A55" s="39"/>
      <c r="B55" s="40"/>
      <c r="H55" s="38"/>
      <c r="K55" s="38"/>
    </row>
    <row r="56" spans="1:11" ht="15.75" customHeight="1">
      <c r="A56" s="39"/>
      <c r="B56" s="40"/>
      <c r="H56" s="38"/>
      <c r="K56" s="38"/>
    </row>
    <row r="57" spans="1:11" ht="15.75" customHeight="1">
      <c r="A57" s="39"/>
      <c r="B57" s="40"/>
      <c r="H57" s="38"/>
      <c r="K57" s="38"/>
    </row>
    <row r="58" spans="1:11" ht="15.75" customHeight="1">
      <c r="A58" s="39"/>
      <c r="B58" s="40"/>
      <c r="H58" s="38"/>
      <c r="K58" s="38"/>
    </row>
    <row r="59" spans="1:11" ht="15.75" customHeight="1">
      <c r="A59" s="39"/>
      <c r="B59" s="40"/>
      <c r="H59" s="38"/>
      <c r="K59" s="38"/>
    </row>
    <row r="60" spans="1:11" ht="15.75" customHeight="1">
      <c r="A60" s="39"/>
      <c r="B60" s="40"/>
      <c r="H60" s="38"/>
      <c r="K60" s="38"/>
    </row>
    <row r="61" spans="1:11" ht="15.75" customHeight="1">
      <c r="A61" s="39"/>
      <c r="B61" s="40"/>
      <c r="H61" s="38"/>
      <c r="K61" s="38"/>
    </row>
    <row r="62" spans="1:11" ht="15.75" customHeight="1">
      <c r="A62" s="39"/>
      <c r="B62" s="40"/>
      <c r="H62" s="38"/>
      <c r="K62" s="38"/>
    </row>
    <row r="63" spans="1:11" ht="15.75" customHeight="1">
      <c r="A63" s="39"/>
      <c r="B63" s="40"/>
      <c r="H63" s="38"/>
      <c r="K63" s="38"/>
    </row>
    <row r="64" spans="1:11" ht="15.75" customHeight="1">
      <c r="A64" s="39"/>
      <c r="B64" s="40"/>
      <c r="H64" s="38"/>
      <c r="K64" s="38"/>
    </row>
    <row r="65" spans="1:11" ht="15.75" customHeight="1">
      <c r="A65" s="39"/>
      <c r="B65" s="40"/>
      <c r="H65" s="38"/>
      <c r="K65" s="38"/>
    </row>
    <row r="66" spans="1:11" ht="15.75" customHeight="1">
      <c r="A66" s="39"/>
      <c r="B66" s="40"/>
      <c r="H66" s="38"/>
      <c r="K66" s="38"/>
    </row>
    <row r="67" spans="1:11" ht="15.75" customHeight="1">
      <c r="A67" s="39"/>
      <c r="B67" s="40"/>
      <c r="H67" s="38"/>
      <c r="K67" s="38"/>
    </row>
    <row r="68" spans="1:11" ht="15.75" customHeight="1">
      <c r="A68" s="39"/>
      <c r="B68" s="40"/>
      <c r="H68" s="38"/>
      <c r="K68" s="38"/>
    </row>
    <row r="69" spans="1:11" ht="15.75" customHeight="1">
      <c r="A69" s="39"/>
      <c r="B69" s="40"/>
      <c r="H69" s="38"/>
      <c r="K69" s="38"/>
    </row>
    <row r="70" spans="1:11" ht="15.75" customHeight="1">
      <c r="A70" s="39"/>
      <c r="B70" s="40"/>
      <c r="H70" s="38"/>
      <c r="K70" s="38"/>
    </row>
    <row r="71" spans="1:11" ht="15.75" customHeight="1">
      <c r="A71" s="39"/>
      <c r="B71" s="40"/>
      <c r="H71" s="38"/>
      <c r="K71" s="38"/>
    </row>
    <row r="72" spans="1:11" ht="15.75" customHeight="1">
      <c r="A72" s="39"/>
      <c r="B72" s="40"/>
      <c r="H72" s="38"/>
      <c r="K72" s="38"/>
    </row>
    <row r="73" spans="1:11" ht="15.75" customHeight="1">
      <c r="A73" s="39"/>
      <c r="B73" s="40"/>
      <c r="H73" s="38"/>
      <c r="K73" s="38"/>
    </row>
    <row r="74" spans="1:11" ht="15.75" customHeight="1">
      <c r="A74" s="39"/>
      <c r="B74" s="40"/>
      <c r="H74" s="38"/>
      <c r="K74" s="38"/>
    </row>
    <row r="75" spans="1:11" ht="15.75" customHeight="1">
      <c r="A75" s="39"/>
      <c r="B75" s="40"/>
      <c r="H75" s="38"/>
      <c r="K75" s="38"/>
    </row>
    <row r="76" spans="1:11" ht="15.75" customHeight="1">
      <c r="A76" s="39"/>
      <c r="B76" s="40"/>
      <c r="H76" s="38"/>
      <c r="K76" s="38"/>
    </row>
    <row r="77" spans="1:11" ht="15.75" customHeight="1">
      <c r="A77" s="39"/>
      <c r="B77" s="40"/>
      <c r="H77" s="38"/>
      <c r="K77" s="38"/>
    </row>
    <row r="78" spans="1:11" ht="15.75" customHeight="1">
      <c r="A78" s="39"/>
      <c r="B78" s="40"/>
      <c r="H78" s="38"/>
      <c r="K78" s="38"/>
    </row>
    <row r="79" spans="1:11" ht="15.75" customHeight="1">
      <c r="A79" s="39"/>
      <c r="B79" s="40"/>
      <c r="H79" s="38"/>
      <c r="K79" s="38"/>
    </row>
    <row r="80" spans="1:11" ht="15.75" customHeight="1">
      <c r="A80" s="39"/>
      <c r="B80" s="40"/>
      <c r="H80" s="38"/>
      <c r="K80" s="38"/>
    </row>
    <row r="81" spans="1:11" ht="15.75" customHeight="1">
      <c r="A81" s="39"/>
      <c r="B81" s="40"/>
      <c r="H81" s="38"/>
      <c r="K81" s="38"/>
    </row>
    <row r="82" spans="1:11" ht="15.75" customHeight="1">
      <c r="A82" s="39"/>
      <c r="B82" s="40"/>
      <c r="H82" s="38"/>
      <c r="K82" s="38"/>
    </row>
    <row r="83" spans="1:11" ht="15.75" customHeight="1">
      <c r="A83" s="39"/>
      <c r="B83" s="40"/>
      <c r="H83" s="38"/>
      <c r="K83" s="38"/>
    </row>
    <row r="84" spans="1:11" ht="15.75" customHeight="1">
      <c r="A84" s="39"/>
      <c r="B84" s="40"/>
      <c r="H84" s="38"/>
      <c r="K84" s="38"/>
    </row>
    <row r="85" spans="1:11" ht="15.75" customHeight="1">
      <c r="A85" s="39"/>
      <c r="B85" s="40"/>
      <c r="H85" s="38"/>
      <c r="K85" s="38"/>
    </row>
    <row r="86" spans="1:11" ht="15.75" customHeight="1">
      <c r="A86" s="39"/>
      <c r="B86" s="40"/>
      <c r="H86" s="38"/>
      <c r="K86" s="38"/>
    </row>
    <row r="87" spans="1:11" ht="15.75" customHeight="1">
      <c r="A87" s="39"/>
      <c r="B87" s="40"/>
      <c r="H87" s="38"/>
      <c r="K87" s="38"/>
    </row>
    <row r="88" spans="1:11" ht="15.75" customHeight="1">
      <c r="A88" s="39"/>
      <c r="B88" s="40"/>
      <c r="H88" s="38"/>
      <c r="K88" s="38"/>
    </row>
    <row r="89" spans="1:11" ht="15.75" customHeight="1">
      <c r="A89" s="39"/>
      <c r="B89" s="40"/>
      <c r="H89" s="38"/>
      <c r="K89" s="38"/>
    </row>
    <row r="90" spans="1:11" ht="15.75" customHeight="1">
      <c r="A90" s="39"/>
      <c r="B90" s="40"/>
      <c r="H90" s="38"/>
      <c r="K90" s="38"/>
    </row>
    <row r="91" spans="1:11" ht="15.75" customHeight="1">
      <c r="A91" s="39"/>
      <c r="B91" s="40"/>
      <c r="H91" s="38"/>
      <c r="K91" s="38"/>
    </row>
    <row r="92" spans="1:11" ht="15.75" customHeight="1">
      <c r="A92" s="39"/>
      <c r="B92" s="40"/>
      <c r="H92" s="38"/>
      <c r="K92" s="38"/>
    </row>
    <row r="93" spans="1:11" ht="15.75" customHeight="1">
      <c r="A93" s="39"/>
      <c r="B93" s="40"/>
      <c r="H93" s="38"/>
      <c r="K93" s="38"/>
    </row>
    <row r="94" spans="1:11" ht="15.75" customHeight="1">
      <c r="A94" s="39"/>
      <c r="B94" s="40"/>
      <c r="H94" s="38"/>
      <c r="K94" s="38"/>
    </row>
    <row r="95" spans="1:11" ht="15.75" customHeight="1">
      <c r="A95" s="39"/>
      <c r="B95" s="40"/>
      <c r="H95" s="38"/>
      <c r="K95" s="38"/>
    </row>
    <row r="96" spans="1:11" ht="15.75" customHeight="1">
      <c r="A96" s="39"/>
      <c r="B96" s="40"/>
      <c r="H96" s="38"/>
      <c r="K96" s="38"/>
    </row>
    <row r="97" spans="1:11" ht="15.75" customHeight="1">
      <c r="A97" s="39"/>
      <c r="B97" s="40"/>
      <c r="H97" s="38"/>
      <c r="K97" s="38"/>
    </row>
    <row r="98" spans="1:11" ht="15.75" customHeight="1">
      <c r="A98" s="39"/>
      <c r="B98" s="40"/>
      <c r="H98" s="38"/>
      <c r="K98" s="38"/>
    </row>
    <row r="99" spans="1:11" ht="15.75" customHeight="1">
      <c r="A99" s="39"/>
      <c r="B99" s="40"/>
      <c r="H99" s="38"/>
      <c r="K99" s="38"/>
    </row>
    <row r="100" spans="1:11" ht="15.75" customHeight="1">
      <c r="A100" s="39"/>
      <c r="B100" s="40"/>
      <c r="H100" s="38"/>
      <c r="K100" s="38"/>
    </row>
    <row r="101" spans="1:11" ht="15.75" customHeight="1">
      <c r="A101" s="39"/>
      <c r="B101" s="40"/>
      <c r="H101" s="38"/>
      <c r="K101" s="38"/>
    </row>
    <row r="102" spans="1:11" ht="15.75" customHeight="1">
      <c r="A102" s="39"/>
      <c r="B102" s="40"/>
      <c r="H102" s="38"/>
      <c r="K102" s="38"/>
    </row>
    <row r="103" spans="1:11" ht="15.75" customHeight="1">
      <c r="A103" s="39"/>
      <c r="B103" s="40"/>
      <c r="H103" s="38"/>
      <c r="K103" s="38"/>
    </row>
    <row r="104" spans="1:11" ht="15.75" customHeight="1">
      <c r="A104" s="39"/>
      <c r="B104" s="40"/>
      <c r="H104" s="38"/>
      <c r="K104" s="38"/>
    </row>
    <row r="105" spans="1:11" ht="15.75" customHeight="1">
      <c r="A105" s="39"/>
      <c r="B105" s="40"/>
      <c r="H105" s="38"/>
      <c r="K105" s="38"/>
    </row>
    <row r="106" spans="1:11" ht="15.75" customHeight="1">
      <c r="A106" s="39"/>
      <c r="B106" s="40"/>
      <c r="H106" s="38"/>
      <c r="K106" s="38"/>
    </row>
    <row r="107" spans="1:11" ht="15.75" customHeight="1">
      <c r="A107" s="39"/>
      <c r="B107" s="40"/>
      <c r="H107" s="38"/>
      <c r="K107" s="38"/>
    </row>
    <row r="108" spans="1:11" ht="15.75" customHeight="1">
      <c r="A108" s="39"/>
      <c r="B108" s="40"/>
      <c r="H108" s="38"/>
      <c r="K108" s="38"/>
    </row>
    <row r="109" spans="1:11" ht="15.75" customHeight="1">
      <c r="A109" s="39"/>
      <c r="B109" s="40"/>
      <c r="H109" s="38"/>
      <c r="K109" s="38"/>
    </row>
    <row r="110" spans="1:11" ht="15.75" customHeight="1">
      <c r="A110" s="39"/>
      <c r="B110" s="40"/>
      <c r="H110" s="38"/>
      <c r="K110" s="38"/>
    </row>
    <row r="111" spans="1:11" ht="15.75" customHeight="1">
      <c r="A111" s="39"/>
      <c r="B111" s="40"/>
      <c r="H111" s="38"/>
      <c r="K111" s="38"/>
    </row>
    <row r="112" spans="1:11" ht="15.75" customHeight="1">
      <c r="A112" s="39"/>
      <c r="B112" s="40"/>
      <c r="H112" s="38"/>
      <c r="K112" s="38"/>
    </row>
    <row r="113" spans="1:11" ht="15.75" customHeight="1">
      <c r="A113" s="39"/>
      <c r="B113" s="40"/>
      <c r="H113" s="38"/>
      <c r="K113" s="38"/>
    </row>
    <row r="114" spans="1:11" ht="15.75" customHeight="1">
      <c r="A114" s="39"/>
      <c r="B114" s="40"/>
      <c r="H114" s="38"/>
      <c r="K114" s="38"/>
    </row>
    <row r="115" spans="1:11" ht="15.75" customHeight="1">
      <c r="A115" s="39"/>
      <c r="B115" s="40"/>
      <c r="H115" s="38"/>
      <c r="K115" s="38"/>
    </row>
    <row r="116" spans="1:11" ht="15.75" customHeight="1">
      <c r="A116" s="39"/>
      <c r="B116" s="40"/>
      <c r="H116" s="38"/>
      <c r="K116" s="38"/>
    </row>
    <row r="117" spans="1:11" ht="15.75" customHeight="1">
      <c r="A117" s="39"/>
      <c r="B117" s="40"/>
      <c r="H117" s="38"/>
      <c r="K117" s="38"/>
    </row>
    <row r="118" spans="1:11" ht="15.75" customHeight="1">
      <c r="A118" s="39"/>
      <c r="B118" s="40"/>
      <c r="H118" s="38"/>
      <c r="K118" s="38"/>
    </row>
    <row r="119" spans="1:11" ht="15.75" customHeight="1">
      <c r="A119" s="39"/>
      <c r="B119" s="40"/>
      <c r="H119" s="38"/>
      <c r="K119" s="38"/>
    </row>
    <row r="120" spans="1:11" ht="15.75" customHeight="1">
      <c r="A120" s="39"/>
      <c r="B120" s="40"/>
      <c r="H120" s="38"/>
      <c r="K120" s="38"/>
    </row>
    <row r="121" spans="1:11" ht="15.75" customHeight="1">
      <c r="A121" s="39"/>
      <c r="B121" s="40"/>
      <c r="H121" s="38"/>
      <c r="K121" s="38"/>
    </row>
    <row r="122" spans="1:11" ht="15.75" customHeight="1">
      <c r="A122" s="39"/>
      <c r="B122" s="40"/>
      <c r="H122" s="38"/>
      <c r="K122" s="38"/>
    </row>
    <row r="123" spans="1:11" ht="15.75" customHeight="1">
      <c r="A123" s="39"/>
      <c r="B123" s="40"/>
      <c r="H123" s="38"/>
      <c r="K123" s="38"/>
    </row>
    <row r="124" spans="1:11" ht="15.75" customHeight="1">
      <c r="A124" s="39"/>
      <c r="B124" s="40"/>
      <c r="H124" s="38"/>
      <c r="K124" s="38"/>
    </row>
    <row r="125" spans="1:11" ht="15.75" customHeight="1">
      <c r="A125" s="39"/>
      <c r="B125" s="40"/>
      <c r="H125" s="38"/>
      <c r="K125" s="38"/>
    </row>
    <row r="126" spans="1:11" ht="15.75" customHeight="1">
      <c r="A126" s="39"/>
      <c r="B126" s="40"/>
      <c r="H126" s="38"/>
      <c r="K126" s="38"/>
    </row>
    <row r="127" spans="1:11" ht="15.75" customHeight="1">
      <c r="A127" s="39"/>
      <c r="B127" s="40"/>
      <c r="H127" s="38"/>
      <c r="K127" s="38"/>
    </row>
    <row r="128" spans="1:11" ht="15.75" customHeight="1">
      <c r="A128" s="39"/>
      <c r="B128" s="40"/>
      <c r="H128" s="38"/>
      <c r="K128" s="38"/>
    </row>
    <row r="129" spans="1:11" ht="15.75" customHeight="1">
      <c r="A129" s="39"/>
      <c r="B129" s="40"/>
      <c r="H129" s="38"/>
      <c r="K129" s="38"/>
    </row>
    <row r="130" spans="1:11" ht="15.75" customHeight="1">
      <c r="A130" s="39"/>
      <c r="B130" s="40"/>
      <c r="H130" s="38"/>
      <c r="K130" s="38"/>
    </row>
    <row r="131" spans="1:11" ht="15.75" customHeight="1">
      <c r="A131" s="39"/>
      <c r="B131" s="40"/>
      <c r="H131" s="38"/>
      <c r="K131" s="38"/>
    </row>
    <row r="132" spans="1:11" ht="15.75" customHeight="1">
      <c r="A132" s="39"/>
      <c r="B132" s="40"/>
      <c r="H132" s="38"/>
      <c r="K132" s="38"/>
    </row>
    <row r="133" spans="1:11" ht="15.75" customHeight="1">
      <c r="A133" s="39"/>
      <c r="B133" s="40"/>
      <c r="H133" s="38"/>
      <c r="K133" s="38"/>
    </row>
    <row r="134" spans="1:11" ht="15.75" customHeight="1">
      <c r="A134" s="39"/>
      <c r="B134" s="40"/>
      <c r="H134" s="38"/>
      <c r="K134" s="38"/>
    </row>
    <row r="135" spans="1:11" ht="15.75" customHeight="1">
      <c r="A135" s="39"/>
      <c r="B135" s="40"/>
      <c r="H135" s="38"/>
      <c r="K135" s="38"/>
    </row>
    <row r="136" spans="1:11" ht="15.75" customHeight="1">
      <c r="A136" s="39"/>
      <c r="B136" s="40"/>
      <c r="H136" s="38"/>
      <c r="K136" s="38"/>
    </row>
    <row r="137" spans="1:11" ht="15.75" customHeight="1">
      <c r="A137" s="39"/>
      <c r="B137" s="40"/>
      <c r="H137" s="38"/>
      <c r="K137" s="38"/>
    </row>
    <row r="138" spans="1:11" ht="15.75" customHeight="1">
      <c r="A138" s="39"/>
      <c r="B138" s="40"/>
      <c r="H138" s="38"/>
      <c r="K138" s="38"/>
    </row>
    <row r="139" spans="1:11" ht="15.75" customHeight="1">
      <c r="A139" s="39"/>
      <c r="B139" s="40"/>
      <c r="H139" s="38"/>
      <c r="K139" s="38"/>
    </row>
    <row r="140" spans="1:11" ht="15.75" customHeight="1">
      <c r="A140" s="39"/>
      <c r="B140" s="40"/>
      <c r="H140" s="38"/>
      <c r="K140" s="38"/>
    </row>
    <row r="141" spans="1:11" ht="15.75" customHeight="1">
      <c r="A141" s="39"/>
      <c r="B141" s="40"/>
      <c r="H141" s="38"/>
      <c r="K141" s="38"/>
    </row>
    <row r="142" spans="1:11" ht="15.75" customHeight="1">
      <c r="A142" s="39"/>
      <c r="B142" s="40"/>
      <c r="H142" s="38"/>
      <c r="K142" s="38"/>
    </row>
    <row r="143" spans="1:11" ht="15.75" customHeight="1">
      <c r="A143" s="39"/>
      <c r="B143" s="40"/>
      <c r="H143" s="38"/>
      <c r="K143" s="38"/>
    </row>
    <row r="144" spans="1:11" ht="15.75" customHeight="1">
      <c r="A144" s="39"/>
      <c r="B144" s="40"/>
      <c r="H144" s="38"/>
      <c r="K144" s="38"/>
    </row>
    <row r="145" spans="1:11" ht="15.75" customHeight="1">
      <c r="A145" s="39"/>
      <c r="B145" s="40"/>
      <c r="H145" s="38"/>
      <c r="K145" s="38"/>
    </row>
    <row r="146" spans="1:11" ht="15.75" customHeight="1">
      <c r="A146" s="39"/>
      <c r="B146" s="40"/>
      <c r="H146" s="38"/>
      <c r="K146" s="38"/>
    </row>
    <row r="147" spans="1:11" ht="15.75" customHeight="1">
      <c r="A147" s="39"/>
      <c r="B147" s="40"/>
      <c r="H147" s="38"/>
      <c r="K147" s="38"/>
    </row>
    <row r="148" spans="1:11" ht="15.75" customHeight="1">
      <c r="A148" s="39"/>
      <c r="B148" s="40"/>
      <c r="H148" s="38"/>
      <c r="K148" s="38"/>
    </row>
    <row r="149" spans="1:11" ht="15.75" customHeight="1">
      <c r="A149" s="39"/>
      <c r="B149" s="40"/>
      <c r="H149" s="38"/>
      <c r="K149" s="38"/>
    </row>
    <row r="150" spans="1:11" ht="15.75" customHeight="1">
      <c r="A150" s="39"/>
      <c r="B150" s="40"/>
      <c r="H150" s="38"/>
      <c r="K150" s="38"/>
    </row>
    <row r="151" spans="1:11" ht="15.75" customHeight="1">
      <c r="A151" s="39"/>
      <c r="B151" s="40"/>
      <c r="H151" s="38"/>
      <c r="K151" s="38"/>
    </row>
    <row r="152" spans="1:11" ht="15.75" customHeight="1">
      <c r="A152" s="39"/>
      <c r="B152" s="40"/>
      <c r="H152" s="38"/>
      <c r="K152" s="38"/>
    </row>
    <row r="153" spans="1:11" ht="15.75" customHeight="1">
      <c r="A153" s="39"/>
      <c r="B153" s="40"/>
      <c r="H153" s="38"/>
      <c r="K153" s="38"/>
    </row>
    <row r="154" spans="1:11" ht="15.75" customHeight="1">
      <c r="A154" s="39"/>
      <c r="B154" s="40"/>
      <c r="H154" s="38"/>
      <c r="K154" s="38"/>
    </row>
    <row r="155" spans="1:11" ht="15.75" customHeight="1">
      <c r="A155" s="39"/>
      <c r="B155" s="40"/>
      <c r="H155" s="38"/>
      <c r="K155" s="38"/>
    </row>
    <row r="156" spans="1:11" ht="15.75" customHeight="1">
      <c r="A156" s="39"/>
      <c r="B156" s="40"/>
      <c r="H156" s="38"/>
      <c r="K156" s="38"/>
    </row>
    <row r="157" spans="1:11" ht="15.75" customHeight="1">
      <c r="A157" s="39"/>
      <c r="B157" s="40"/>
      <c r="H157" s="38"/>
      <c r="K157" s="38"/>
    </row>
    <row r="158" spans="1:11" ht="15.75" customHeight="1">
      <c r="A158" s="39"/>
      <c r="B158" s="40"/>
      <c r="H158" s="38"/>
      <c r="K158" s="38"/>
    </row>
    <row r="159" spans="1:11" ht="15.75" customHeight="1">
      <c r="A159" s="39"/>
      <c r="B159" s="40"/>
      <c r="H159" s="38"/>
      <c r="K159" s="38"/>
    </row>
    <row r="160" spans="1:11" ht="15.75" customHeight="1">
      <c r="A160" s="39"/>
      <c r="B160" s="40"/>
      <c r="H160" s="38"/>
      <c r="K160" s="38"/>
    </row>
    <row r="161" spans="1:11" ht="15.75" customHeight="1">
      <c r="A161" s="39"/>
      <c r="B161" s="40"/>
      <c r="H161" s="38"/>
      <c r="K161" s="38"/>
    </row>
    <row r="162" spans="1:11" ht="15.75" customHeight="1">
      <c r="A162" s="39"/>
      <c r="B162" s="40"/>
      <c r="H162" s="38"/>
      <c r="K162" s="38"/>
    </row>
    <row r="163" spans="1:11" ht="15.75" customHeight="1">
      <c r="A163" s="39"/>
      <c r="B163" s="40"/>
      <c r="H163" s="38"/>
      <c r="K163" s="38"/>
    </row>
    <row r="164" spans="1:11" ht="15.75" customHeight="1">
      <c r="A164" s="39"/>
      <c r="B164" s="40"/>
      <c r="H164" s="38"/>
      <c r="K164" s="38"/>
    </row>
    <row r="165" spans="1:11" ht="15.75" customHeight="1">
      <c r="A165" s="39"/>
      <c r="B165" s="40"/>
      <c r="H165" s="38"/>
      <c r="K165" s="38"/>
    </row>
    <row r="166" spans="1:11" ht="15.75" customHeight="1">
      <c r="A166" s="39"/>
      <c r="B166" s="40"/>
      <c r="H166" s="38"/>
      <c r="K166" s="38"/>
    </row>
    <row r="167" spans="1:11" ht="15.75" customHeight="1">
      <c r="A167" s="39"/>
      <c r="B167" s="40"/>
      <c r="H167" s="38"/>
      <c r="K167" s="38"/>
    </row>
    <row r="168" spans="1:11" ht="15.75" customHeight="1">
      <c r="A168" s="39"/>
      <c r="B168" s="40"/>
      <c r="H168" s="38"/>
      <c r="K168" s="38"/>
    </row>
    <row r="169" spans="1:11" ht="15.75" customHeight="1">
      <c r="A169" s="39"/>
      <c r="B169" s="40"/>
      <c r="H169" s="38"/>
      <c r="K169" s="38"/>
    </row>
    <row r="170" spans="1:11" ht="15.75" customHeight="1">
      <c r="A170" s="39"/>
      <c r="B170" s="40"/>
      <c r="H170" s="38"/>
      <c r="K170" s="38"/>
    </row>
    <row r="171" spans="1:11" ht="15.75" customHeight="1">
      <c r="A171" s="39"/>
      <c r="B171" s="40"/>
      <c r="H171" s="38"/>
      <c r="K171" s="38"/>
    </row>
    <row r="172" spans="1:11" ht="15.75" customHeight="1">
      <c r="A172" s="39"/>
      <c r="B172" s="40"/>
      <c r="H172" s="38"/>
      <c r="K172" s="38"/>
    </row>
    <row r="173" spans="1:11" ht="15.75" customHeight="1">
      <c r="A173" s="39"/>
      <c r="B173" s="40"/>
      <c r="H173" s="38"/>
      <c r="K173" s="38"/>
    </row>
    <row r="174" spans="1:11" ht="15.75" customHeight="1">
      <c r="A174" s="39"/>
      <c r="B174" s="40"/>
      <c r="H174" s="38"/>
      <c r="K174" s="38"/>
    </row>
    <row r="175" spans="1:11" ht="15.75" customHeight="1">
      <c r="A175" s="39"/>
      <c r="B175" s="40"/>
      <c r="H175" s="38"/>
      <c r="K175" s="38"/>
    </row>
    <row r="176" spans="1:11" ht="15.75" customHeight="1">
      <c r="A176" s="39"/>
      <c r="B176" s="40"/>
      <c r="H176" s="38"/>
      <c r="K176" s="38"/>
    </row>
    <row r="177" spans="1:11" ht="15.75" customHeight="1">
      <c r="A177" s="39"/>
      <c r="B177" s="40"/>
      <c r="H177" s="38"/>
      <c r="K177" s="38"/>
    </row>
    <row r="178" spans="1:11" ht="15.75" customHeight="1">
      <c r="A178" s="39"/>
      <c r="B178" s="40"/>
      <c r="H178" s="38"/>
      <c r="K178" s="38"/>
    </row>
    <row r="179" spans="1:11" ht="15.75" customHeight="1">
      <c r="A179" s="39"/>
      <c r="B179" s="40"/>
      <c r="H179" s="38"/>
      <c r="K179" s="38"/>
    </row>
    <row r="180" spans="1:11" ht="15.75" customHeight="1">
      <c r="A180" s="39"/>
      <c r="B180" s="40"/>
      <c r="H180" s="38"/>
      <c r="K180" s="38"/>
    </row>
    <row r="181" spans="1:11" ht="15.75" customHeight="1">
      <c r="A181" s="39"/>
      <c r="B181" s="40"/>
      <c r="H181" s="38"/>
      <c r="K181" s="38"/>
    </row>
    <row r="182" spans="1:11" ht="15.75" customHeight="1">
      <c r="A182" s="39"/>
      <c r="B182" s="40"/>
      <c r="H182" s="38"/>
      <c r="K182" s="38"/>
    </row>
    <row r="183" spans="1:11" ht="15.75" customHeight="1">
      <c r="A183" s="39"/>
      <c r="B183" s="40"/>
      <c r="H183" s="38"/>
      <c r="K183" s="38"/>
    </row>
    <row r="184" spans="1:11" ht="15.75" customHeight="1">
      <c r="A184" s="39"/>
      <c r="B184" s="40"/>
      <c r="H184" s="38"/>
      <c r="K184" s="38"/>
    </row>
    <row r="185" spans="1:11" ht="15.75" customHeight="1">
      <c r="A185" s="39"/>
      <c r="B185" s="40"/>
      <c r="H185" s="38"/>
      <c r="K185" s="38"/>
    </row>
    <row r="186" spans="1:11" ht="15.75" customHeight="1">
      <c r="A186" s="39"/>
      <c r="B186" s="40"/>
      <c r="H186" s="38"/>
      <c r="K186" s="38"/>
    </row>
    <row r="187" spans="1:11" ht="15.75" customHeight="1">
      <c r="A187" s="39"/>
      <c r="B187" s="40"/>
      <c r="H187" s="38"/>
      <c r="K187" s="38"/>
    </row>
    <row r="188" spans="1:11" ht="15.75" customHeight="1">
      <c r="A188" s="39"/>
      <c r="B188" s="40"/>
      <c r="H188" s="38"/>
      <c r="K188" s="38"/>
    </row>
    <row r="189" spans="1:11" ht="15.75" customHeight="1">
      <c r="A189" s="39"/>
      <c r="B189" s="40"/>
      <c r="H189" s="38"/>
      <c r="K189" s="38"/>
    </row>
    <row r="190" spans="1:11" ht="15.75" customHeight="1">
      <c r="A190" s="39"/>
      <c r="B190" s="40"/>
      <c r="H190" s="38"/>
      <c r="K190" s="38"/>
    </row>
    <row r="191" spans="1:11" ht="15.75" customHeight="1">
      <c r="A191" s="39"/>
      <c r="B191" s="40"/>
      <c r="H191" s="38"/>
      <c r="K191" s="38"/>
    </row>
    <row r="192" spans="1:11" ht="15.75" customHeight="1">
      <c r="A192" s="39"/>
      <c r="B192" s="40"/>
      <c r="H192" s="38"/>
      <c r="K192" s="38"/>
    </row>
    <row r="193" spans="1:11" ht="15.75" customHeight="1">
      <c r="A193" s="39"/>
      <c r="B193" s="40"/>
      <c r="H193" s="38"/>
      <c r="K193" s="38"/>
    </row>
    <row r="194" spans="1:11" ht="15.75" customHeight="1">
      <c r="A194" s="39"/>
      <c r="B194" s="40"/>
      <c r="H194" s="38"/>
      <c r="K194" s="38"/>
    </row>
    <row r="195" spans="1:11" ht="15.75" customHeight="1">
      <c r="A195" s="39"/>
      <c r="B195" s="40"/>
      <c r="H195" s="38"/>
      <c r="K195" s="38"/>
    </row>
    <row r="196" spans="1:11" ht="15.75" customHeight="1">
      <c r="A196" s="39"/>
      <c r="B196" s="40"/>
      <c r="H196" s="38"/>
      <c r="K196" s="38"/>
    </row>
    <row r="197" spans="1:11" ht="15.75" customHeight="1">
      <c r="A197" s="39"/>
      <c r="B197" s="40"/>
      <c r="H197" s="38"/>
      <c r="K197" s="38"/>
    </row>
    <row r="198" spans="1:11" ht="15.75" customHeight="1">
      <c r="A198" s="39"/>
      <c r="B198" s="40"/>
      <c r="H198" s="38"/>
      <c r="K198" s="38"/>
    </row>
    <row r="199" spans="1:11" ht="15.75" customHeight="1">
      <c r="A199" s="39"/>
      <c r="B199" s="40"/>
      <c r="H199" s="38"/>
      <c r="K199" s="38"/>
    </row>
    <row r="200" spans="1:11" ht="15.75" customHeight="1">
      <c r="A200" s="39"/>
      <c r="B200" s="40"/>
      <c r="H200" s="38"/>
      <c r="K200" s="38"/>
    </row>
    <row r="201" spans="1:11" ht="15.75" customHeight="1">
      <c r="A201" s="39"/>
      <c r="B201" s="40"/>
      <c r="H201" s="38"/>
      <c r="K201" s="38"/>
    </row>
    <row r="202" spans="1:11" ht="15.75" customHeight="1">
      <c r="A202" s="39"/>
      <c r="B202" s="40"/>
      <c r="H202" s="38"/>
      <c r="K202" s="38"/>
    </row>
    <row r="203" spans="1:11" ht="15.75" customHeight="1">
      <c r="A203" s="39"/>
      <c r="B203" s="40"/>
      <c r="H203" s="38"/>
      <c r="K203" s="38"/>
    </row>
    <row r="204" spans="1:11" ht="15.75" customHeight="1">
      <c r="A204" s="39"/>
      <c r="B204" s="40"/>
      <c r="H204" s="38"/>
      <c r="K204" s="38"/>
    </row>
    <row r="205" spans="1:11" ht="15.75" customHeight="1">
      <c r="A205" s="39"/>
      <c r="B205" s="40"/>
      <c r="H205" s="38"/>
      <c r="K205" s="38"/>
    </row>
    <row r="206" spans="1:11" ht="15.75" customHeight="1">
      <c r="A206" s="39"/>
      <c r="B206" s="40"/>
      <c r="H206" s="38"/>
      <c r="K206" s="38"/>
    </row>
    <row r="207" spans="1:11" ht="15.75" customHeight="1">
      <c r="A207" s="39"/>
      <c r="B207" s="40"/>
      <c r="H207" s="38"/>
      <c r="K207" s="38"/>
    </row>
    <row r="208" spans="1:11" ht="15.75" customHeight="1">
      <c r="A208" s="39"/>
      <c r="B208" s="40"/>
      <c r="H208" s="38"/>
      <c r="K208" s="38"/>
    </row>
    <row r="209" spans="1:11" ht="15.75" customHeight="1">
      <c r="A209" s="39"/>
      <c r="B209" s="40"/>
      <c r="H209" s="38"/>
      <c r="K209" s="38"/>
    </row>
    <row r="210" spans="1:11" ht="15.75" customHeight="1">
      <c r="A210" s="39"/>
      <c r="B210" s="40"/>
      <c r="H210" s="38"/>
      <c r="K210" s="38"/>
    </row>
    <row r="211" spans="1:11" ht="15.75" customHeight="1">
      <c r="A211" s="39"/>
      <c r="B211" s="40"/>
      <c r="H211" s="38"/>
      <c r="K211" s="38"/>
    </row>
    <row r="212" spans="1:11" ht="15.75" customHeight="1">
      <c r="A212" s="39"/>
      <c r="B212" s="40"/>
      <c r="H212" s="38"/>
      <c r="K212" s="38"/>
    </row>
    <row r="213" spans="1:11" ht="15.75" customHeight="1">
      <c r="A213" s="39"/>
      <c r="B213" s="40"/>
      <c r="H213" s="38"/>
      <c r="K213" s="38"/>
    </row>
    <row r="214" spans="1:11" ht="15.75" customHeight="1">
      <c r="A214" s="39"/>
      <c r="B214" s="40"/>
      <c r="H214" s="38"/>
      <c r="K214" s="38"/>
    </row>
    <row r="215" spans="1:11" ht="15.75" customHeight="1">
      <c r="A215" s="39"/>
      <c r="B215" s="40"/>
      <c r="H215" s="38"/>
      <c r="K215" s="38"/>
    </row>
    <row r="216" spans="1:11" ht="15.75" customHeight="1">
      <c r="A216" s="39"/>
      <c r="B216" s="40"/>
      <c r="H216" s="38"/>
      <c r="K216" s="38"/>
    </row>
    <row r="217" spans="1:11" ht="15.75" customHeight="1">
      <c r="A217" s="39"/>
      <c r="B217" s="40"/>
      <c r="H217" s="38"/>
      <c r="K217" s="38"/>
    </row>
    <row r="218" spans="1:11" ht="15.75" customHeight="1">
      <c r="A218" s="39"/>
      <c r="B218" s="40"/>
      <c r="H218" s="38"/>
      <c r="K218" s="38"/>
    </row>
    <row r="219" spans="1:11" ht="15.75" customHeight="1">
      <c r="A219" s="39"/>
      <c r="B219" s="40"/>
      <c r="H219" s="38"/>
      <c r="K219" s="38"/>
    </row>
    <row r="220" spans="1:11" ht="15.75" customHeight="1">
      <c r="A220" s="39"/>
      <c r="B220" s="40"/>
      <c r="H220" s="38"/>
      <c r="K220" s="38"/>
    </row>
    <row r="221" spans="1:11" ht="15.75" customHeight="1">
      <c r="A221" s="39"/>
      <c r="B221" s="40"/>
      <c r="H221" s="38"/>
      <c r="K221" s="38"/>
    </row>
    <row r="222" spans="1:11" ht="15.75" customHeight="1">
      <c r="A222" s="39"/>
      <c r="B222" s="40"/>
      <c r="H222" s="38"/>
      <c r="K222" s="38"/>
    </row>
    <row r="223" spans="1:11" ht="15.75" customHeight="1">
      <c r="A223" s="39"/>
      <c r="B223" s="40"/>
      <c r="H223" s="38"/>
      <c r="K223" s="38"/>
    </row>
    <row r="224" spans="1:11" ht="15.75" customHeight="1">
      <c r="A224" s="39"/>
      <c r="B224" s="40"/>
      <c r="H224" s="38"/>
      <c r="K224" s="38"/>
    </row>
    <row r="225" spans="1:11" ht="15.75" customHeight="1">
      <c r="A225" s="39"/>
      <c r="B225" s="40"/>
      <c r="H225" s="38"/>
      <c r="K225" s="38"/>
    </row>
    <row r="226" spans="1:11" ht="15.75" customHeight="1">
      <c r="A226" s="39"/>
      <c r="B226" s="40"/>
      <c r="H226" s="38"/>
      <c r="K226" s="38"/>
    </row>
    <row r="227" spans="1:11" ht="15.75" customHeight="1">
      <c r="A227" s="39"/>
      <c r="B227" s="40"/>
      <c r="H227" s="38"/>
      <c r="K227" s="38"/>
    </row>
    <row r="228" spans="1:11" ht="15.75" customHeight="1">
      <c r="A228" s="39"/>
      <c r="B228" s="40"/>
      <c r="H228" s="38"/>
      <c r="K228" s="38"/>
    </row>
    <row r="229" spans="1:11" ht="15.75" customHeight="1">
      <c r="A229" s="39"/>
      <c r="B229" s="40"/>
      <c r="H229" s="38"/>
      <c r="K229" s="38"/>
    </row>
    <row r="230" spans="1:11" ht="15.75" customHeight="1">
      <c r="A230" s="39"/>
      <c r="B230" s="40"/>
      <c r="H230" s="38"/>
      <c r="K230" s="38"/>
    </row>
    <row r="231" spans="1:11" ht="15.75" customHeight="1">
      <c r="A231" s="39"/>
      <c r="B231" s="40"/>
      <c r="H231" s="38"/>
      <c r="K231" s="38"/>
    </row>
    <row r="232" spans="1:11" ht="15.75" customHeight="1">
      <c r="A232" s="39"/>
      <c r="B232" s="40"/>
      <c r="H232" s="38"/>
      <c r="K232" s="38"/>
    </row>
    <row r="233" spans="1:11" ht="15.75" customHeight="1">
      <c r="A233" s="39"/>
      <c r="B233" s="40"/>
      <c r="H233" s="38"/>
      <c r="K233" s="38"/>
    </row>
    <row r="234" spans="1:11" ht="15.75" customHeight="1">
      <c r="A234" s="39"/>
      <c r="B234" s="40"/>
      <c r="H234" s="38"/>
      <c r="K234" s="38"/>
    </row>
    <row r="235" spans="1:11" ht="15.75" customHeight="1">
      <c r="A235" s="39"/>
      <c r="B235" s="40"/>
      <c r="H235" s="38"/>
      <c r="K235" s="38"/>
    </row>
    <row r="236" spans="1:11" ht="15.75" customHeight="1">
      <c r="A236" s="39"/>
      <c r="B236" s="40"/>
      <c r="H236" s="38"/>
      <c r="K236" s="38"/>
    </row>
    <row r="237" spans="1:11" ht="15.75" customHeight="1">
      <c r="A237" s="39"/>
      <c r="B237" s="40"/>
      <c r="H237" s="38"/>
      <c r="K237" s="38"/>
    </row>
    <row r="238" spans="1:11" ht="15.75" customHeight="1">
      <c r="A238" s="39"/>
      <c r="B238" s="40"/>
      <c r="H238" s="38"/>
      <c r="K238" s="38"/>
    </row>
    <row r="239" spans="1:11" ht="15.75" customHeight="1">
      <c r="A239" s="39"/>
      <c r="B239" s="40"/>
      <c r="H239" s="38"/>
      <c r="K239" s="38"/>
    </row>
    <row r="240" spans="1:11" ht="15.75" customHeight="1">
      <c r="A240" s="39"/>
      <c r="B240" s="40"/>
      <c r="H240" s="38"/>
      <c r="K240" s="38"/>
    </row>
    <row r="241" spans="1:11" ht="15.75" customHeight="1">
      <c r="A241" s="39"/>
      <c r="B241" s="40"/>
      <c r="H241" s="38"/>
      <c r="K241" s="38"/>
    </row>
    <row r="242" spans="1:11" ht="15.75" customHeight="1">
      <c r="A242" s="39"/>
      <c r="B242" s="40"/>
      <c r="H242" s="38"/>
      <c r="K242" s="38"/>
    </row>
    <row r="243" spans="1:11" ht="15.75" customHeight="1">
      <c r="A243" s="39"/>
      <c r="B243" s="40"/>
      <c r="H243" s="38"/>
      <c r="K243" s="38"/>
    </row>
    <row r="244" spans="1:11" ht="15.75" customHeight="1">
      <c r="A244" s="39"/>
      <c r="B244" s="40"/>
      <c r="H244" s="38"/>
      <c r="K244" s="38"/>
    </row>
    <row r="245" spans="1:11" ht="15.75" customHeight="1">
      <c r="A245" s="39"/>
      <c r="B245" s="40"/>
      <c r="H245" s="38"/>
      <c r="K245" s="38"/>
    </row>
    <row r="246" spans="1:11" ht="15.75" customHeight="1">
      <c r="A246" s="39"/>
      <c r="B246" s="40"/>
      <c r="H246" s="38"/>
      <c r="K246" s="38"/>
    </row>
    <row r="247" spans="1:11" ht="15.75" customHeight="1">
      <c r="A247" s="39"/>
      <c r="B247" s="40"/>
      <c r="H247" s="38"/>
      <c r="K247" s="38"/>
    </row>
    <row r="248" spans="1:11" ht="15.75" customHeight="1">
      <c r="A248" s="39"/>
      <c r="B248" s="40"/>
      <c r="H248" s="38"/>
      <c r="K248" s="38"/>
    </row>
    <row r="249" spans="1:11" ht="15.75" customHeight="1">
      <c r="A249" s="39"/>
      <c r="B249" s="40"/>
      <c r="H249" s="38"/>
      <c r="K249" s="38"/>
    </row>
    <row r="250" spans="1:11" ht="15.75" customHeight="1">
      <c r="A250" s="39"/>
      <c r="B250" s="40"/>
      <c r="H250" s="38"/>
      <c r="K250" s="38"/>
    </row>
    <row r="251" spans="1:11" ht="15.75" customHeight="1">
      <c r="A251" s="39"/>
      <c r="B251" s="40"/>
      <c r="H251" s="38"/>
      <c r="K251" s="38"/>
    </row>
    <row r="252" spans="1:11" ht="15.75" customHeight="1">
      <c r="A252" s="39"/>
      <c r="B252" s="40"/>
      <c r="H252" s="38"/>
      <c r="K252" s="38"/>
    </row>
    <row r="253" spans="1:11" ht="15.75" customHeight="1">
      <c r="A253" s="39"/>
      <c r="B253" s="40"/>
      <c r="H253" s="38"/>
      <c r="K253" s="38"/>
    </row>
    <row r="254" spans="1:11" ht="15.75" customHeight="1">
      <c r="A254" s="39"/>
      <c r="B254" s="40"/>
      <c r="H254" s="38"/>
      <c r="K254" s="38"/>
    </row>
    <row r="255" spans="1:11" ht="15.75" customHeight="1">
      <c r="A255" s="39"/>
      <c r="B255" s="40"/>
      <c r="H255" s="38"/>
      <c r="K255" s="38"/>
    </row>
    <row r="256" spans="1:11" ht="15.75" customHeight="1">
      <c r="A256" s="39"/>
      <c r="B256" s="40"/>
      <c r="H256" s="38"/>
      <c r="K256" s="38"/>
    </row>
    <row r="257" spans="1:11" ht="15.75" customHeight="1">
      <c r="A257" s="39"/>
      <c r="B257" s="40"/>
      <c r="H257" s="38"/>
      <c r="K257" s="38"/>
    </row>
    <row r="258" spans="1:11" ht="15.75" customHeight="1">
      <c r="A258" s="39"/>
      <c r="B258" s="40"/>
      <c r="H258" s="38"/>
      <c r="K258" s="38"/>
    </row>
    <row r="259" spans="1:11" ht="15.75" customHeight="1">
      <c r="A259" s="39"/>
      <c r="B259" s="40"/>
      <c r="H259" s="38"/>
      <c r="K259" s="38"/>
    </row>
    <row r="260" spans="1:11" ht="15.75" customHeight="1">
      <c r="A260" s="39"/>
      <c r="B260" s="40"/>
      <c r="H260" s="38"/>
      <c r="K260" s="38"/>
    </row>
    <row r="261" spans="1:11" ht="15.75" customHeight="1">
      <c r="A261" s="39"/>
      <c r="B261" s="40"/>
      <c r="H261" s="38"/>
      <c r="K261" s="38"/>
    </row>
    <row r="262" spans="1:11" ht="15.75" customHeight="1">
      <c r="A262" s="39"/>
      <c r="B262" s="40"/>
      <c r="H262" s="38"/>
      <c r="K262" s="38"/>
    </row>
    <row r="263" spans="1:11" ht="15.75" customHeight="1">
      <c r="A263" s="39"/>
      <c r="B263" s="40"/>
      <c r="H263" s="38"/>
      <c r="K263" s="38"/>
    </row>
    <row r="264" spans="1:11" ht="15.75" customHeight="1">
      <c r="A264" s="39"/>
      <c r="B264" s="40"/>
      <c r="H264" s="38"/>
      <c r="K264" s="38"/>
    </row>
    <row r="265" spans="1:11" ht="15.75" customHeight="1">
      <c r="A265" s="39"/>
      <c r="B265" s="40"/>
      <c r="H265" s="38"/>
      <c r="K265" s="38"/>
    </row>
    <row r="266" spans="1:11" ht="15.75" customHeight="1">
      <c r="A266" s="39"/>
      <c r="B266" s="40"/>
      <c r="H266" s="38"/>
      <c r="K266" s="38"/>
    </row>
    <row r="267" spans="1:11" ht="15.75" customHeight="1">
      <c r="A267" s="39"/>
      <c r="B267" s="40"/>
      <c r="H267" s="38"/>
      <c r="K267" s="38"/>
    </row>
    <row r="268" spans="1:11" ht="15.75" customHeight="1">
      <c r="A268" s="39"/>
      <c r="B268" s="40"/>
      <c r="H268" s="38"/>
      <c r="K268" s="38"/>
    </row>
    <row r="269" spans="1:11" ht="15.75" customHeight="1">
      <c r="A269" s="39"/>
      <c r="B269" s="40"/>
      <c r="H269" s="38"/>
      <c r="K269" s="38"/>
    </row>
    <row r="270" spans="1:11" ht="15.75" customHeight="1">
      <c r="A270" s="39"/>
      <c r="B270" s="40"/>
      <c r="H270" s="38"/>
      <c r="K270" s="38"/>
    </row>
    <row r="271" spans="1:11" ht="15.75" customHeight="1">
      <c r="A271" s="39"/>
      <c r="B271" s="40"/>
      <c r="H271" s="38"/>
      <c r="K271" s="38"/>
    </row>
    <row r="272" spans="1:11" ht="15.75" customHeight="1">
      <c r="A272" s="39"/>
      <c r="B272" s="40"/>
      <c r="H272" s="38"/>
      <c r="K272" s="38"/>
    </row>
    <row r="273" spans="1:11" ht="15.75" customHeight="1">
      <c r="A273" s="39"/>
      <c r="B273" s="40"/>
      <c r="H273" s="38"/>
      <c r="K273" s="38"/>
    </row>
    <row r="274" spans="1:11" ht="15.75" customHeight="1">
      <c r="A274" s="39"/>
      <c r="B274" s="40"/>
      <c r="H274" s="38"/>
      <c r="K274" s="38"/>
    </row>
    <row r="275" spans="1:11" ht="15.75" customHeight="1">
      <c r="A275" s="39"/>
      <c r="B275" s="40"/>
      <c r="H275" s="38"/>
      <c r="K275" s="38"/>
    </row>
    <row r="276" spans="1:11" ht="15.75" customHeight="1">
      <c r="A276" s="39"/>
      <c r="B276" s="40"/>
      <c r="H276" s="38"/>
      <c r="K276" s="38"/>
    </row>
    <row r="277" spans="1:11" ht="15.75" customHeight="1">
      <c r="A277" s="39"/>
      <c r="B277" s="40"/>
      <c r="H277" s="38"/>
      <c r="K277" s="38"/>
    </row>
    <row r="278" spans="1:11" ht="15.75" customHeight="1">
      <c r="A278" s="39"/>
      <c r="B278" s="40"/>
      <c r="H278" s="38"/>
      <c r="K278" s="38"/>
    </row>
    <row r="279" spans="1:11" ht="15.75" customHeight="1">
      <c r="A279" s="39"/>
      <c r="B279" s="40"/>
      <c r="H279" s="38"/>
      <c r="K279" s="38"/>
    </row>
    <row r="280" spans="1:11" ht="15.75" customHeight="1">
      <c r="A280" s="39"/>
      <c r="B280" s="40"/>
      <c r="H280" s="38"/>
      <c r="K280" s="38"/>
    </row>
    <row r="281" spans="1:11" ht="15.75" customHeight="1">
      <c r="A281" s="39"/>
      <c r="B281" s="40"/>
      <c r="H281" s="38"/>
      <c r="K281" s="38"/>
    </row>
    <row r="282" spans="1:11" ht="15.75" customHeight="1">
      <c r="A282" s="39"/>
      <c r="B282" s="40"/>
      <c r="H282" s="38"/>
      <c r="K282" s="38"/>
    </row>
    <row r="283" spans="1:11" ht="15.75" customHeight="1">
      <c r="A283" s="39"/>
      <c r="B283" s="40"/>
      <c r="H283" s="38"/>
      <c r="K283" s="38"/>
    </row>
    <row r="284" spans="1:11" ht="15.75" customHeight="1">
      <c r="A284" s="39"/>
      <c r="B284" s="40"/>
      <c r="H284" s="38"/>
      <c r="K284" s="38"/>
    </row>
    <row r="285" spans="1:11" ht="15.75" customHeight="1">
      <c r="A285" s="39"/>
      <c r="B285" s="40"/>
      <c r="H285" s="38"/>
      <c r="K285" s="38"/>
    </row>
    <row r="286" spans="1:11" ht="15.75" customHeight="1">
      <c r="A286" s="39"/>
      <c r="B286" s="40"/>
      <c r="H286" s="38"/>
      <c r="K286" s="38"/>
    </row>
    <row r="287" spans="1:11" ht="15.75" customHeight="1">
      <c r="A287" s="39"/>
      <c r="B287" s="40"/>
      <c r="H287" s="38"/>
      <c r="K287" s="38"/>
    </row>
    <row r="288" spans="1:11" ht="15.75" customHeight="1">
      <c r="A288" s="39"/>
      <c r="B288" s="40"/>
      <c r="H288" s="38"/>
      <c r="K288" s="38"/>
    </row>
    <row r="289" spans="1:11" ht="15.75" customHeight="1">
      <c r="A289" s="39"/>
      <c r="B289" s="40"/>
      <c r="H289" s="38"/>
      <c r="K289" s="38"/>
    </row>
    <row r="290" spans="1:11" ht="15.75" customHeight="1">
      <c r="A290" s="39"/>
      <c r="B290" s="40"/>
      <c r="H290" s="38"/>
      <c r="K290" s="38"/>
    </row>
    <row r="291" spans="1:11" ht="15.75" customHeight="1">
      <c r="A291" s="39"/>
      <c r="B291" s="40"/>
      <c r="H291" s="38"/>
      <c r="K291" s="38"/>
    </row>
    <row r="292" spans="1:11" ht="15.75" customHeight="1">
      <c r="A292" s="39"/>
      <c r="B292" s="40"/>
      <c r="H292" s="38"/>
      <c r="K292" s="38"/>
    </row>
    <row r="293" spans="1:11" ht="15.75" customHeight="1">
      <c r="A293" s="39"/>
      <c r="B293" s="40"/>
      <c r="H293" s="38"/>
      <c r="K293" s="38"/>
    </row>
    <row r="294" spans="1:11" ht="15.75" customHeight="1">
      <c r="A294" s="39"/>
      <c r="B294" s="40"/>
      <c r="H294" s="38"/>
      <c r="K294" s="38"/>
    </row>
    <row r="295" spans="1:11" ht="15.75" customHeight="1">
      <c r="A295" s="39"/>
      <c r="B295" s="40"/>
      <c r="H295" s="38"/>
      <c r="K295" s="38"/>
    </row>
    <row r="296" spans="1:11" ht="15.75" customHeight="1">
      <c r="A296" s="39"/>
      <c r="B296" s="40"/>
      <c r="H296" s="38"/>
      <c r="K296" s="38"/>
    </row>
    <row r="297" spans="1:11" ht="15.75" customHeight="1">
      <c r="A297" s="39"/>
      <c r="B297" s="40"/>
      <c r="H297" s="38"/>
      <c r="K297" s="38"/>
    </row>
    <row r="298" spans="1:11" ht="15.75" customHeight="1">
      <c r="A298" s="39"/>
      <c r="B298" s="40"/>
      <c r="H298" s="38"/>
      <c r="K298" s="38"/>
    </row>
    <row r="299" spans="1:11" ht="15.75" customHeight="1">
      <c r="A299" s="39"/>
      <c r="B299" s="40"/>
      <c r="H299" s="38"/>
      <c r="K299" s="38"/>
    </row>
    <row r="300" spans="1:11" ht="15.75" customHeight="1">
      <c r="A300" s="39"/>
      <c r="B300" s="40"/>
      <c r="H300" s="38"/>
      <c r="K300" s="38"/>
    </row>
    <row r="301" spans="1:11" ht="15.75" customHeight="1">
      <c r="A301" s="39"/>
      <c r="B301" s="40"/>
      <c r="H301" s="38"/>
      <c r="K301" s="38"/>
    </row>
    <row r="302" spans="1:11" ht="15.75" customHeight="1">
      <c r="A302" s="39"/>
      <c r="B302" s="40"/>
      <c r="H302" s="38"/>
      <c r="K302" s="38"/>
    </row>
    <row r="303" spans="1:11" ht="15.75" customHeight="1">
      <c r="A303" s="39"/>
      <c r="B303" s="40"/>
      <c r="H303" s="38"/>
      <c r="K303" s="38"/>
    </row>
    <row r="304" spans="1:11" ht="15.75" customHeight="1">
      <c r="A304" s="39"/>
      <c r="B304" s="40"/>
      <c r="H304" s="38"/>
      <c r="K304" s="38"/>
    </row>
    <row r="305" spans="1:11" ht="15.75" customHeight="1">
      <c r="A305" s="39"/>
      <c r="B305" s="40"/>
      <c r="H305" s="38"/>
      <c r="K305" s="38"/>
    </row>
    <row r="306" spans="1:11" ht="15.75" customHeight="1">
      <c r="A306" s="39"/>
      <c r="B306" s="40"/>
      <c r="H306" s="38"/>
      <c r="K306" s="38"/>
    </row>
    <row r="307" spans="1:11" ht="15.75" customHeight="1">
      <c r="A307" s="39"/>
      <c r="B307" s="40"/>
      <c r="H307" s="38"/>
      <c r="K307" s="38"/>
    </row>
    <row r="308" spans="1:11" ht="15.75" customHeight="1">
      <c r="A308" s="39"/>
      <c r="B308" s="40"/>
      <c r="H308" s="38"/>
      <c r="K308" s="38"/>
    </row>
    <row r="309" spans="1:11" ht="15.75" customHeight="1">
      <c r="A309" s="39"/>
      <c r="B309" s="40"/>
      <c r="H309" s="38"/>
      <c r="K309" s="38"/>
    </row>
    <row r="310" spans="1:11" ht="15.75" customHeight="1">
      <c r="A310" s="39"/>
      <c r="B310" s="40"/>
      <c r="H310" s="38"/>
      <c r="K310" s="38"/>
    </row>
    <row r="311" spans="1:11" ht="15.75" customHeight="1">
      <c r="A311" s="39"/>
      <c r="B311" s="40"/>
      <c r="H311" s="38"/>
      <c r="K311" s="38"/>
    </row>
    <row r="312" spans="1:11" ht="15.75" customHeight="1">
      <c r="A312" s="39"/>
      <c r="B312" s="40"/>
      <c r="H312" s="38"/>
      <c r="K312" s="38"/>
    </row>
    <row r="313" spans="1:11" ht="15.75" customHeight="1">
      <c r="A313" s="39"/>
      <c r="B313" s="40"/>
      <c r="H313" s="38"/>
      <c r="K313" s="38"/>
    </row>
    <row r="314" spans="1:11" ht="15.75" customHeight="1">
      <c r="A314" s="39"/>
      <c r="B314" s="40"/>
      <c r="H314" s="38"/>
      <c r="K314" s="38"/>
    </row>
    <row r="315" spans="1:11" ht="15.75" customHeight="1">
      <c r="A315" s="39"/>
      <c r="B315" s="40"/>
      <c r="H315" s="38"/>
      <c r="K315" s="38"/>
    </row>
    <row r="316" spans="1:11" ht="15.75" customHeight="1">
      <c r="A316" s="39"/>
      <c r="B316" s="40"/>
      <c r="H316" s="38"/>
      <c r="K316" s="38"/>
    </row>
    <row r="317" spans="1:11" ht="15.75" customHeight="1">
      <c r="A317" s="39"/>
      <c r="B317" s="40"/>
      <c r="H317" s="38"/>
      <c r="K317" s="38"/>
    </row>
    <row r="318" spans="1:11" ht="15.75" customHeight="1">
      <c r="A318" s="39"/>
      <c r="B318" s="40"/>
      <c r="H318" s="38"/>
      <c r="K318" s="38"/>
    </row>
    <row r="319" spans="1:11" ht="15.75" customHeight="1">
      <c r="A319" s="39"/>
      <c r="B319" s="40"/>
      <c r="H319" s="38"/>
      <c r="K319" s="38"/>
    </row>
    <row r="320" spans="1:11" ht="15.75" customHeight="1">
      <c r="A320" s="39"/>
      <c r="B320" s="40"/>
      <c r="H320" s="38"/>
      <c r="K320" s="38"/>
    </row>
    <row r="321" spans="1:11" ht="15.75" customHeight="1">
      <c r="A321" s="39"/>
      <c r="B321" s="40"/>
      <c r="H321" s="38"/>
      <c r="K321" s="38"/>
    </row>
    <row r="322" spans="1:11" ht="15.75" customHeight="1">
      <c r="A322" s="39"/>
      <c r="B322" s="40"/>
      <c r="H322" s="38"/>
      <c r="K322" s="38"/>
    </row>
    <row r="323" spans="1:11" ht="15.75" customHeight="1">
      <c r="A323" s="39"/>
      <c r="B323" s="40"/>
      <c r="H323" s="38"/>
      <c r="K323" s="38"/>
    </row>
    <row r="324" spans="1:11" ht="15.75" customHeight="1">
      <c r="A324" s="39"/>
      <c r="B324" s="40"/>
      <c r="H324" s="38"/>
      <c r="K324" s="38"/>
    </row>
    <row r="325" spans="1:11" ht="15.75" customHeight="1">
      <c r="A325" s="39"/>
      <c r="B325" s="40"/>
      <c r="H325" s="38"/>
      <c r="K325" s="38"/>
    </row>
    <row r="326" spans="1:11" ht="15.75" customHeight="1">
      <c r="A326" s="39"/>
      <c r="B326" s="40"/>
      <c r="H326" s="38"/>
      <c r="K326" s="38"/>
    </row>
    <row r="327" spans="1:11" ht="15.75" customHeight="1">
      <c r="A327" s="39"/>
      <c r="B327" s="40"/>
      <c r="H327" s="38"/>
      <c r="K327" s="38"/>
    </row>
    <row r="328" spans="1:11" ht="15.75" customHeight="1">
      <c r="A328" s="39"/>
      <c r="B328" s="40"/>
      <c r="H328" s="38"/>
      <c r="K328" s="38"/>
    </row>
    <row r="329" spans="1:11" ht="15.75" customHeight="1">
      <c r="A329" s="39"/>
      <c r="B329" s="40"/>
      <c r="H329" s="38"/>
      <c r="K329" s="38"/>
    </row>
    <row r="330" spans="1:11" ht="15.75" customHeight="1">
      <c r="A330" s="39"/>
      <c r="B330" s="40"/>
      <c r="H330" s="38"/>
      <c r="K330" s="38"/>
    </row>
    <row r="331" spans="1:11" ht="15.75" customHeight="1">
      <c r="A331" s="39"/>
      <c r="B331" s="40"/>
      <c r="H331" s="38"/>
      <c r="K331" s="38"/>
    </row>
    <row r="332" spans="1:11" ht="15.75" customHeight="1">
      <c r="A332" s="39"/>
      <c r="B332" s="40"/>
      <c r="H332" s="38"/>
      <c r="K332" s="38"/>
    </row>
    <row r="333" spans="1:11" ht="15.75" customHeight="1">
      <c r="A333" s="39"/>
      <c r="B333" s="40"/>
      <c r="H333" s="38"/>
      <c r="K333" s="38"/>
    </row>
    <row r="334" spans="1:11" ht="15.75" customHeight="1">
      <c r="A334" s="39"/>
      <c r="B334" s="40"/>
      <c r="H334" s="38"/>
      <c r="K334" s="38"/>
    </row>
    <row r="335" spans="1:11" ht="15.75" customHeight="1">
      <c r="A335" s="39"/>
      <c r="B335" s="40"/>
      <c r="H335" s="38"/>
      <c r="K335" s="38"/>
    </row>
    <row r="336" spans="1:11" ht="15.75" customHeight="1">
      <c r="A336" s="39"/>
      <c r="B336" s="40"/>
      <c r="H336" s="38"/>
      <c r="K336" s="38"/>
    </row>
    <row r="337" spans="1:11" ht="15.75" customHeight="1">
      <c r="A337" s="39"/>
      <c r="B337" s="40"/>
      <c r="H337" s="38"/>
      <c r="K337" s="38"/>
    </row>
    <row r="338" spans="1:11" ht="15.75" customHeight="1">
      <c r="A338" s="39"/>
      <c r="B338" s="40"/>
      <c r="H338" s="38"/>
      <c r="K338" s="38"/>
    </row>
    <row r="339" spans="1:11" ht="15.75" customHeight="1">
      <c r="A339" s="39"/>
      <c r="B339" s="40"/>
      <c r="H339" s="38"/>
      <c r="K339" s="38"/>
    </row>
    <row r="340" spans="1:11" ht="15.75" customHeight="1">
      <c r="A340" s="39"/>
      <c r="B340" s="40"/>
      <c r="H340" s="38"/>
      <c r="K340" s="38"/>
    </row>
    <row r="341" spans="1:11" ht="15.75" customHeight="1">
      <c r="A341" s="39"/>
      <c r="B341" s="40"/>
      <c r="H341" s="38"/>
      <c r="K341" s="38"/>
    </row>
    <row r="342" spans="1:11" ht="15.75" customHeight="1">
      <c r="A342" s="39"/>
      <c r="B342" s="40"/>
      <c r="H342" s="38"/>
      <c r="K342" s="38"/>
    </row>
    <row r="343" spans="1:11" ht="15.75" customHeight="1">
      <c r="A343" s="39"/>
      <c r="B343" s="40"/>
      <c r="H343" s="38"/>
      <c r="K343" s="38"/>
    </row>
    <row r="344" spans="1:11" ht="15.75" customHeight="1">
      <c r="A344" s="39"/>
      <c r="B344" s="40"/>
      <c r="H344" s="38"/>
      <c r="K344" s="38"/>
    </row>
    <row r="345" spans="1:11" ht="15.75" customHeight="1">
      <c r="A345" s="39"/>
      <c r="B345" s="40"/>
      <c r="H345" s="38"/>
      <c r="K345" s="38"/>
    </row>
    <row r="346" spans="1:11" ht="15.75" customHeight="1">
      <c r="A346" s="39"/>
      <c r="B346" s="40"/>
      <c r="H346" s="38"/>
      <c r="K346" s="38"/>
    </row>
    <row r="347" spans="1:11" ht="15.75" customHeight="1">
      <c r="A347" s="39"/>
      <c r="B347" s="40"/>
      <c r="H347" s="38"/>
      <c r="K347" s="38"/>
    </row>
    <row r="348" spans="1:11" ht="15.75" customHeight="1">
      <c r="A348" s="39"/>
      <c r="B348" s="40"/>
      <c r="H348" s="38"/>
      <c r="K348" s="38"/>
    </row>
    <row r="349" spans="1:11" ht="15.75" customHeight="1">
      <c r="A349" s="39"/>
      <c r="B349" s="40"/>
      <c r="H349" s="38"/>
      <c r="K349" s="38"/>
    </row>
    <row r="350" spans="1:11" ht="15.75" customHeight="1">
      <c r="A350" s="39"/>
      <c r="B350" s="40"/>
      <c r="H350" s="38"/>
      <c r="K350" s="38"/>
    </row>
    <row r="351" spans="1:11" ht="15.75" customHeight="1">
      <c r="A351" s="39"/>
      <c r="B351" s="40"/>
      <c r="H351" s="38"/>
      <c r="K351" s="38"/>
    </row>
    <row r="352" spans="1:11" ht="15.75" customHeight="1">
      <c r="A352" s="39"/>
      <c r="B352" s="40"/>
      <c r="H352" s="38"/>
      <c r="K352" s="38"/>
    </row>
    <row r="353" spans="1:11" ht="15.75" customHeight="1">
      <c r="A353" s="39"/>
      <c r="B353" s="40"/>
      <c r="H353" s="38"/>
      <c r="K353" s="38"/>
    </row>
    <row r="354" spans="1:11" ht="15.75" customHeight="1">
      <c r="A354" s="39"/>
      <c r="B354" s="40"/>
      <c r="H354" s="38"/>
      <c r="K354" s="38"/>
    </row>
    <row r="355" spans="1:11" ht="15.75" customHeight="1">
      <c r="A355" s="39"/>
      <c r="B355" s="40"/>
      <c r="H355" s="38"/>
      <c r="K355" s="38"/>
    </row>
    <row r="356" spans="1:11" ht="15.75" customHeight="1">
      <c r="A356" s="39"/>
      <c r="B356" s="40"/>
      <c r="H356" s="38"/>
      <c r="K356" s="38"/>
    </row>
    <row r="357" spans="1:11" ht="15.75" customHeight="1">
      <c r="A357" s="39"/>
      <c r="B357" s="40"/>
      <c r="H357" s="38"/>
      <c r="K357" s="38"/>
    </row>
    <row r="358" spans="1:11" ht="15.75" customHeight="1">
      <c r="A358" s="39"/>
      <c r="B358" s="40"/>
      <c r="H358" s="38"/>
      <c r="K358" s="38"/>
    </row>
    <row r="359" spans="1:11" ht="15.75" customHeight="1">
      <c r="A359" s="39"/>
      <c r="B359" s="40"/>
      <c r="H359" s="38"/>
      <c r="K359" s="38"/>
    </row>
    <row r="360" spans="1:11" ht="15.75" customHeight="1">
      <c r="A360" s="39"/>
      <c r="B360" s="40"/>
      <c r="H360" s="38"/>
      <c r="K360" s="38"/>
    </row>
    <row r="361" spans="1:11" ht="15.75" customHeight="1">
      <c r="A361" s="39"/>
      <c r="B361" s="40"/>
      <c r="H361" s="38"/>
      <c r="K361" s="38"/>
    </row>
    <row r="362" spans="1:11" ht="15.75" customHeight="1">
      <c r="A362" s="39"/>
      <c r="B362" s="40"/>
      <c r="H362" s="38"/>
      <c r="K362" s="38"/>
    </row>
    <row r="363" spans="1:11" ht="15.75" customHeight="1">
      <c r="A363" s="39"/>
      <c r="B363" s="40"/>
      <c r="H363" s="38"/>
      <c r="K363" s="38"/>
    </row>
    <row r="364" spans="1:11" ht="15.75" customHeight="1">
      <c r="A364" s="39"/>
      <c r="B364" s="40"/>
      <c r="H364" s="38"/>
      <c r="K364" s="38"/>
    </row>
    <row r="365" spans="1:11" ht="15.75" customHeight="1">
      <c r="A365" s="39"/>
      <c r="B365" s="40"/>
      <c r="H365" s="38"/>
      <c r="K365" s="38"/>
    </row>
    <row r="366" spans="1:11" ht="15.75" customHeight="1">
      <c r="A366" s="39"/>
      <c r="B366" s="40"/>
      <c r="H366" s="38"/>
      <c r="K366" s="38"/>
    </row>
    <row r="367" spans="1:11" ht="15.75" customHeight="1">
      <c r="A367" s="39"/>
      <c r="B367" s="40"/>
      <c r="H367" s="38"/>
      <c r="K367" s="38"/>
    </row>
    <row r="368" spans="1:11" ht="15.75" customHeight="1">
      <c r="A368" s="39"/>
      <c r="B368" s="40"/>
      <c r="H368" s="38"/>
      <c r="K368" s="38"/>
    </row>
    <row r="369" spans="1:11" ht="15.75" customHeight="1">
      <c r="A369" s="39"/>
      <c r="B369" s="40"/>
      <c r="H369" s="38"/>
      <c r="K369" s="38"/>
    </row>
    <row r="370" spans="1:11" ht="15.75" customHeight="1">
      <c r="A370" s="39"/>
      <c r="B370" s="40"/>
      <c r="H370" s="38"/>
      <c r="K370" s="38"/>
    </row>
    <row r="371" spans="1:11" ht="15.75" customHeight="1">
      <c r="A371" s="39"/>
      <c r="B371" s="40"/>
      <c r="H371" s="38"/>
      <c r="K371" s="38"/>
    </row>
    <row r="372" spans="1:11" ht="15.75" customHeight="1">
      <c r="A372" s="39"/>
      <c r="B372" s="40"/>
      <c r="H372" s="38"/>
      <c r="K372" s="38"/>
    </row>
    <row r="373" spans="1:11" ht="15.75" customHeight="1">
      <c r="A373" s="39"/>
      <c r="B373" s="40"/>
      <c r="H373" s="38"/>
      <c r="K373" s="38"/>
    </row>
    <row r="374" spans="1:11" ht="15.75" customHeight="1">
      <c r="A374" s="39"/>
      <c r="B374" s="40"/>
      <c r="H374" s="38"/>
      <c r="K374" s="38"/>
    </row>
    <row r="375" spans="1:11" ht="15.75" customHeight="1">
      <c r="A375" s="39"/>
      <c r="B375" s="40"/>
      <c r="H375" s="38"/>
      <c r="K375" s="38"/>
    </row>
    <row r="376" spans="1:11" ht="15.75" customHeight="1">
      <c r="A376" s="39"/>
      <c r="B376" s="40"/>
      <c r="H376" s="38"/>
      <c r="K376" s="38"/>
    </row>
    <row r="377" spans="1:11" ht="15.75" customHeight="1">
      <c r="A377" s="39"/>
      <c r="B377" s="40"/>
      <c r="H377" s="38"/>
      <c r="K377" s="38"/>
    </row>
    <row r="378" spans="1:11" ht="15.75" customHeight="1">
      <c r="A378" s="39"/>
      <c r="B378" s="40"/>
      <c r="H378" s="38"/>
      <c r="K378" s="38"/>
    </row>
    <row r="379" spans="1:11" ht="15.75" customHeight="1">
      <c r="A379" s="39"/>
      <c r="B379" s="40"/>
      <c r="H379" s="38"/>
      <c r="K379" s="38"/>
    </row>
    <row r="380" spans="1:11" ht="15.75" customHeight="1">
      <c r="A380" s="39"/>
      <c r="B380" s="40"/>
      <c r="H380" s="38"/>
      <c r="K380" s="38"/>
    </row>
    <row r="381" spans="1:11" ht="15.75" customHeight="1">
      <c r="A381" s="39"/>
      <c r="B381" s="40"/>
      <c r="H381" s="38"/>
      <c r="K381" s="38"/>
    </row>
    <row r="382" spans="1:11" ht="15.75" customHeight="1">
      <c r="A382" s="39"/>
      <c r="B382" s="40"/>
      <c r="H382" s="38"/>
      <c r="K382" s="38"/>
    </row>
    <row r="383" spans="1:11" ht="15.75" customHeight="1">
      <c r="A383" s="39"/>
      <c r="B383" s="40"/>
      <c r="H383" s="38"/>
      <c r="K383" s="38"/>
    </row>
    <row r="384" spans="1:11" ht="15.75" customHeight="1">
      <c r="A384" s="39"/>
      <c r="B384" s="40"/>
      <c r="H384" s="38"/>
      <c r="K384" s="38"/>
    </row>
    <row r="385" spans="1:11" ht="15.75" customHeight="1">
      <c r="A385" s="39"/>
      <c r="B385" s="40"/>
      <c r="H385" s="38"/>
      <c r="K385" s="38"/>
    </row>
    <row r="386" spans="1:11" ht="15.75" customHeight="1">
      <c r="A386" s="39"/>
      <c r="B386" s="40"/>
      <c r="H386" s="38"/>
      <c r="K386" s="38"/>
    </row>
    <row r="387" spans="1:11" ht="15.75" customHeight="1">
      <c r="A387" s="39"/>
      <c r="B387" s="40"/>
      <c r="H387" s="38"/>
      <c r="K387" s="38"/>
    </row>
    <row r="388" spans="1:11" ht="15.75" customHeight="1">
      <c r="A388" s="39"/>
      <c r="B388" s="40"/>
      <c r="H388" s="38"/>
      <c r="K388" s="38"/>
    </row>
    <row r="389" spans="1:11" ht="15.75" customHeight="1">
      <c r="A389" s="39"/>
      <c r="B389" s="40"/>
      <c r="H389" s="38"/>
      <c r="K389" s="38"/>
    </row>
    <row r="390" spans="1:11" ht="15.75" customHeight="1">
      <c r="A390" s="39"/>
      <c r="B390" s="40"/>
      <c r="H390" s="38"/>
      <c r="K390" s="38"/>
    </row>
    <row r="391" spans="1:11" ht="15.75" customHeight="1">
      <c r="A391" s="39"/>
      <c r="B391" s="40"/>
      <c r="H391" s="38"/>
      <c r="K391" s="38"/>
    </row>
    <row r="392" spans="1:11" ht="15.75" customHeight="1">
      <c r="A392" s="39"/>
      <c r="B392" s="40"/>
      <c r="H392" s="38"/>
      <c r="K392" s="38"/>
    </row>
    <row r="393" spans="1:11" ht="15.75" customHeight="1">
      <c r="A393" s="39"/>
      <c r="B393" s="40"/>
      <c r="H393" s="38"/>
      <c r="K393" s="38"/>
    </row>
    <row r="394" spans="1:11" ht="15.75" customHeight="1">
      <c r="A394" s="39"/>
      <c r="B394" s="40"/>
      <c r="H394" s="38"/>
      <c r="K394" s="38"/>
    </row>
    <row r="395" spans="1:11" ht="15.75" customHeight="1">
      <c r="A395" s="39"/>
      <c r="B395" s="40"/>
      <c r="H395" s="38"/>
      <c r="K395" s="38"/>
    </row>
    <row r="396" spans="1:11" ht="15.75" customHeight="1">
      <c r="A396" s="39"/>
      <c r="B396" s="40"/>
      <c r="H396" s="38"/>
      <c r="K396" s="38"/>
    </row>
    <row r="397" spans="1:11" ht="15.75" customHeight="1">
      <c r="A397" s="39"/>
      <c r="B397" s="40"/>
      <c r="H397" s="38"/>
      <c r="K397" s="38"/>
    </row>
    <row r="398" spans="1:11" ht="15.75" customHeight="1">
      <c r="A398" s="39"/>
      <c r="B398" s="40"/>
      <c r="H398" s="38"/>
      <c r="K398" s="38"/>
    </row>
    <row r="399" spans="1:11" ht="15.75" customHeight="1">
      <c r="A399" s="39"/>
      <c r="B399" s="40"/>
      <c r="H399" s="38"/>
      <c r="K399" s="38"/>
    </row>
    <row r="400" spans="1:11" ht="15.75" customHeight="1">
      <c r="A400" s="39"/>
      <c r="B400" s="40"/>
      <c r="H400" s="38"/>
      <c r="K400" s="38"/>
    </row>
    <row r="401" spans="1:11" ht="15.75" customHeight="1">
      <c r="A401" s="39"/>
      <c r="B401" s="40"/>
      <c r="H401" s="38"/>
      <c r="K401" s="38"/>
    </row>
    <row r="402" spans="1:11" ht="15.75" customHeight="1">
      <c r="A402" s="39"/>
      <c r="B402" s="40"/>
      <c r="H402" s="38"/>
      <c r="K402" s="38"/>
    </row>
    <row r="403" spans="1:11" ht="15.75" customHeight="1">
      <c r="A403" s="39"/>
      <c r="B403" s="40"/>
      <c r="H403" s="38"/>
      <c r="K403" s="38"/>
    </row>
    <row r="404" spans="1:11" ht="15.75" customHeight="1">
      <c r="A404" s="39"/>
      <c r="B404" s="40"/>
      <c r="H404" s="38"/>
      <c r="K404" s="38"/>
    </row>
    <row r="405" spans="1:11" ht="15.75" customHeight="1">
      <c r="A405" s="39"/>
      <c r="B405" s="40"/>
      <c r="H405" s="38"/>
      <c r="K405" s="38"/>
    </row>
    <row r="406" spans="1:11" ht="15.75" customHeight="1">
      <c r="A406" s="39"/>
      <c r="B406" s="40"/>
      <c r="H406" s="38"/>
      <c r="K406" s="38"/>
    </row>
    <row r="407" spans="1:11" ht="15.75" customHeight="1">
      <c r="A407" s="39"/>
      <c r="B407" s="40"/>
      <c r="H407" s="38"/>
      <c r="K407" s="38"/>
    </row>
    <row r="408" spans="1:11" ht="15.75" customHeight="1">
      <c r="A408" s="39"/>
      <c r="B408" s="40"/>
      <c r="H408" s="38"/>
      <c r="K408" s="38"/>
    </row>
    <row r="409" spans="1:11" ht="15.75" customHeight="1">
      <c r="A409" s="39"/>
      <c r="B409" s="40"/>
      <c r="H409" s="38"/>
      <c r="K409" s="38"/>
    </row>
    <row r="410" spans="1:11" ht="15.75" customHeight="1">
      <c r="A410" s="39"/>
      <c r="B410" s="40"/>
      <c r="H410" s="38"/>
      <c r="K410" s="38"/>
    </row>
    <row r="411" spans="1:11" ht="15.75" customHeight="1">
      <c r="A411" s="39"/>
      <c r="B411" s="40"/>
      <c r="H411" s="38"/>
      <c r="K411" s="38"/>
    </row>
    <row r="412" spans="1:11" ht="15.75" customHeight="1">
      <c r="A412" s="39"/>
      <c r="B412" s="40"/>
      <c r="H412" s="38"/>
      <c r="K412" s="38"/>
    </row>
    <row r="413" spans="1:11" ht="15.75" customHeight="1">
      <c r="A413" s="39"/>
      <c r="B413" s="40"/>
      <c r="H413" s="38"/>
      <c r="K413" s="38"/>
    </row>
    <row r="414" spans="1:11" ht="15.75" customHeight="1">
      <c r="A414" s="39"/>
      <c r="B414" s="40"/>
      <c r="H414" s="38"/>
      <c r="K414" s="38"/>
    </row>
    <row r="415" spans="1:11" ht="15.75" customHeight="1">
      <c r="A415" s="39"/>
      <c r="B415" s="40"/>
      <c r="H415" s="38"/>
      <c r="K415" s="38"/>
    </row>
    <row r="416" spans="1:11" ht="15.75" customHeight="1">
      <c r="A416" s="39"/>
      <c r="B416" s="40"/>
      <c r="H416" s="38"/>
      <c r="K416" s="38"/>
    </row>
    <row r="417" spans="1:11" ht="15.75" customHeight="1">
      <c r="A417" s="39"/>
      <c r="B417" s="40"/>
      <c r="H417" s="38"/>
      <c r="K417" s="38"/>
    </row>
    <row r="418" spans="1:11" ht="15.75" customHeight="1">
      <c r="A418" s="39"/>
      <c r="B418" s="40"/>
      <c r="H418" s="38"/>
      <c r="K418" s="38"/>
    </row>
    <row r="419" spans="1:11" ht="15.75" customHeight="1">
      <c r="A419" s="39"/>
      <c r="B419" s="40"/>
      <c r="H419" s="38"/>
      <c r="K419" s="38"/>
    </row>
    <row r="420" spans="1:11" ht="15.75" customHeight="1">
      <c r="A420" s="39"/>
      <c r="B420" s="40"/>
      <c r="H420" s="38"/>
      <c r="K420" s="38"/>
    </row>
    <row r="421" spans="1:11" ht="15.75" customHeight="1">
      <c r="A421" s="39"/>
      <c r="B421" s="40"/>
      <c r="H421" s="38"/>
      <c r="K421" s="38"/>
    </row>
    <row r="422" spans="1:11" ht="15.75" customHeight="1">
      <c r="A422" s="39"/>
      <c r="B422" s="40"/>
      <c r="H422" s="38"/>
      <c r="K422" s="38"/>
    </row>
    <row r="423" spans="1:11" ht="15.75" customHeight="1">
      <c r="A423" s="39"/>
      <c r="B423" s="40"/>
      <c r="H423" s="38"/>
      <c r="K423" s="38"/>
    </row>
    <row r="424" spans="1:11" ht="15.75" customHeight="1">
      <c r="A424" s="39"/>
      <c r="B424" s="40"/>
      <c r="H424" s="38"/>
      <c r="K424" s="38"/>
    </row>
    <row r="425" spans="1:11" ht="15.75" customHeight="1">
      <c r="A425" s="39"/>
      <c r="B425" s="40"/>
      <c r="H425" s="38"/>
      <c r="K425" s="38"/>
    </row>
    <row r="426" spans="1:11" ht="15.75" customHeight="1">
      <c r="A426" s="39"/>
      <c r="B426" s="40"/>
      <c r="H426" s="38"/>
      <c r="K426" s="38"/>
    </row>
    <row r="427" spans="1:11" ht="15.75" customHeight="1">
      <c r="A427" s="39"/>
      <c r="B427" s="40"/>
      <c r="H427" s="38"/>
      <c r="K427" s="38"/>
    </row>
    <row r="428" spans="1:11" ht="15.75" customHeight="1">
      <c r="A428" s="39"/>
      <c r="B428" s="40"/>
      <c r="H428" s="38"/>
      <c r="K428" s="38"/>
    </row>
    <row r="429" spans="1:11" ht="15.75" customHeight="1">
      <c r="A429" s="39"/>
      <c r="B429" s="40"/>
      <c r="H429" s="38"/>
      <c r="K429" s="38"/>
    </row>
    <row r="430" spans="1:11" ht="15.75" customHeight="1">
      <c r="A430" s="39"/>
      <c r="B430" s="40"/>
      <c r="H430" s="38"/>
      <c r="K430" s="38"/>
    </row>
    <row r="431" spans="1:11" ht="15.75" customHeight="1">
      <c r="A431" s="39"/>
      <c r="B431" s="40"/>
      <c r="H431" s="38"/>
      <c r="K431" s="38"/>
    </row>
    <row r="432" spans="1:11" ht="15.75" customHeight="1">
      <c r="A432" s="39"/>
      <c r="B432" s="40"/>
      <c r="H432" s="38"/>
      <c r="K432" s="38"/>
    </row>
    <row r="433" spans="1:11" ht="15.75" customHeight="1">
      <c r="A433" s="39"/>
      <c r="B433" s="40"/>
      <c r="H433" s="38"/>
      <c r="K433" s="38"/>
    </row>
    <row r="434" spans="1:11" ht="15.75" customHeight="1">
      <c r="A434" s="39"/>
      <c r="B434" s="40"/>
      <c r="H434" s="38"/>
      <c r="K434" s="38"/>
    </row>
    <row r="435" spans="1:11" ht="15.75" customHeight="1">
      <c r="A435" s="39"/>
      <c r="B435" s="40"/>
      <c r="H435" s="38"/>
      <c r="K435" s="38"/>
    </row>
    <row r="436" spans="1:11" ht="15.75" customHeight="1">
      <c r="A436" s="39"/>
      <c r="B436" s="40"/>
      <c r="H436" s="38"/>
      <c r="K436" s="38"/>
    </row>
    <row r="437" spans="1:11" ht="15.75" customHeight="1">
      <c r="A437" s="39"/>
      <c r="B437" s="40"/>
      <c r="H437" s="38"/>
      <c r="K437" s="38"/>
    </row>
    <row r="438" spans="1:11" ht="15.75" customHeight="1">
      <c r="A438" s="39"/>
      <c r="B438" s="40"/>
      <c r="H438" s="38"/>
      <c r="K438" s="38"/>
    </row>
    <row r="439" spans="1:11" ht="15.75" customHeight="1">
      <c r="A439" s="39"/>
      <c r="B439" s="40"/>
      <c r="H439" s="38"/>
      <c r="K439" s="38"/>
    </row>
    <row r="440" spans="1:11" ht="15.75" customHeight="1">
      <c r="A440" s="39"/>
      <c r="B440" s="40"/>
      <c r="H440" s="38"/>
      <c r="K440" s="38"/>
    </row>
    <row r="441" spans="1:11" ht="15.75" customHeight="1">
      <c r="A441" s="39"/>
      <c r="B441" s="40"/>
      <c r="H441" s="38"/>
      <c r="K441" s="38"/>
    </row>
    <row r="442" spans="1:11" ht="15.75" customHeight="1">
      <c r="A442" s="39"/>
      <c r="B442" s="40"/>
      <c r="H442" s="38"/>
      <c r="K442" s="38"/>
    </row>
    <row r="443" spans="1:11" ht="15.75" customHeight="1">
      <c r="A443" s="39"/>
      <c r="B443" s="40"/>
      <c r="H443" s="38"/>
      <c r="K443" s="38"/>
    </row>
    <row r="444" spans="1:11" ht="15.75" customHeight="1">
      <c r="A444" s="39"/>
      <c r="B444" s="40"/>
      <c r="H444" s="38"/>
      <c r="K444" s="38"/>
    </row>
    <row r="445" spans="1:11" ht="15.75" customHeight="1">
      <c r="A445" s="39"/>
      <c r="B445" s="40"/>
      <c r="H445" s="38"/>
      <c r="K445" s="38"/>
    </row>
    <row r="446" spans="1:11" ht="15.75" customHeight="1">
      <c r="A446" s="39"/>
      <c r="B446" s="40"/>
      <c r="H446" s="38"/>
      <c r="K446" s="38"/>
    </row>
    <row r="447" spans="1:11" ht="15.75" customHeight="1">
      <c r="A447" s="39"/>
      <c r="B447" s="40"/>
      <c r="H447" s="38"/>
      <c r="K447" s="38"/>
    </row>
    <row r="448" spans="1:11" ht="15.75" customHeight="1">
      <c r="A448" s="39"/>
      <c r="B448" s="40"/>
      <c r="H448" s="38"/>
      <c r="K448" s="38"/>
    </row>
    <row r="449" spans="1:11" ht="15.75" customHeight="1">
      <c r="A449" s="39"/>
      <c r="B449" s="40"/>
      <c r="H449" s="38"/>
      <c r="K449" s="38"/>
    </row>
    <row r="450" spans="1:11" ht="15.75" customHeight="1">
      <c r="A450" s="39"/>
      <c r="B450" s="40"/>
      <c r="H450" s="38"/>
      <c r="K450" s="38"/>
    </row>
    <row r="451" spans="1:11" ht="15.75" customHeight="1">
      <c r="A451" s="39"/>
      <c r="B451" s="40"/>
      <c r="H451" s="38"/>
      <c r="K451" s="38"/>
    </row>
    <row r="452" spans="1:11" ht="15.75" customHeight="1">
      <c r="A452" s="39"/>
      <c r="B452" s="40"/>
      <c r="H452" s="38"/>
      <c r="K452" s="38"/>
    </row>
    <row r="453" spans="1:11" ht="15.75" customHeight="1">
      <c r="A453" s="39"/>
      <c r="B453" s="40"/>
      <c r="H453" s="38"/>
      <c r="K453" s="38"/>
    </row>
    <row r="454" spans="1:11" ht="15.75" customHeight="1">
      <c r="A454" s="39"/>
      <c r="B454" s="40"/>
      <c r="H454" s="38"/>
      <c r="K454" s="38"/>
    </row>
    <row r="455" spans="1:11" ht="15.75" customHeight="1">
      <c r="A455" s="39"/>
      <c r="B455" s="40"/>
      <c r="H455" s="38"/>
      <c r="K455" s="38"/>
    </row>
    <row r="456" spans="1:11" ht="15.75" customHeight="1">
      <c r="A456" s="39"/>
      <c r="B456" s="40"/>
      <c r="H456" s="38"/>
      <c r="K456" s="38"/>
    </row>
    <row r="457" spans="1:11" ht="15.75" customHeight="1">
      <c r="A457" s="39"/>
      <c r="B457" s="40"/>
      <c r="H457" s="38"/>
      <c r="K457" s="38"/>
    </row>
    <row r="458" spans="1:11" ht="15.75" customHeight="1">
      <c r="A458" s="39"/>
      <c r="B458" s="40"/>
      <c r="H458" s="38"/>
      <c r="K458" s="38"/>
    </row>
    <row r="459" spans="1:11" ht="15.75" customHeight="1">
      <c r="A459" s="39"/>
      <c r="B459" s="40"/>
      <c r="H459" s="38"/>
      <c r="K459" s="38"/>
    </row>
    <row r="460" spans="1:11" ht="15.75" customHeight="1">
      <c r="A460" s="39"/>
      <c r="B460" s="40"/>
      <c r="H460" s="38"/>
      <c r="K460" s="38"/>
    </row>
    <row r="461" spans="1:11" ht="15.75" customHeight="1">
      <c r="A461" s="39"/>
      <c r="B461" s="40"/>
      <c r="H461" s="38"/>
      <c r="K461" s="38"/>
    </row>
    <row r="462" spans="1:11" ht="15.75" customHeight="1">
      <c r="A462" s="39"/>
      <c r="B462" s="40"/>
      <c r="H462" s="38"/>
      <c r="K462" s="38"/>
    </row>
    <row r="463" spans="1:11" ht="15.75" customHeight="1">
      <c r="A463" s="39"/>
      <c r="B463" s="40"/>
      <c r="H463" s="38"/>
      <c r="K463" s="38"/>
    </row>
    <row r="464" spans="1:11" ht="15.75" customHeight="1">
      <c r="A464" s="39"/>
      <c r="B464" s="40"/>
      <c r="H464" s="38"/>
      <c r="K464" s="38"/>
    </row>
    <row r="465" spans="1:11" ht="15.75" customHeight="1">
      <c r="A465" s="39"/>
      <c r="B465" s="40"/>
      <c r="H465" s="38"/>
      <c r="K465" s="38"/>
    </row>
    <row r="466" spans="1:11" ht="15.75" customHeight="1">
      <c r="A466" s="39"/>
      <c r="B466" s="40"/>
      <c r="H466" s="38"/>
      <c r="K466" s="38"/>
    </row>
    <row r="467" spans="1:11" ht="15.75" customHeight="1">
      <c r="A467" s="39"/>
      <c r="B467" s="40"/>
      <c r="H467" s="38"/>
      <c r="K467" s="38"/>
    </row>
    <row r="468" spans="1:11" ht="15.75" customHeight="1">
      <c r="A468" s="39"/>
      <c r="B468" s="40"/>
      <c r="H468" s="38"/>
      <c r="K468" s="38"/>
    </row>
    <row r="469" spans="1:11" ht="15.75" customHeight="1">
      <c r="A469" s="39"/>
      <c r="B469" s="40"/>
      <c r="H469" s="38"/>
      <c r="K469" s="38"/>
    </row>
    <row r="470" spans="1:11" ht="15.75" customHeight="1">
      <c r="A470" s="39"/>
      <c r="B470" s="40"/>
      <c r="H470" s="38"/>
      <c r="K470" s="38"/>
    </row>
    <row r="471" spans="1:11" ht="15.75" customHeight="1">
      <c r="A471" s="39"/>
      <c r="B471" s="40"/>
      <c r="H471" s="38"/>
      <c r="K471" s="38"/>
    </row>
    <row r="472" spans="1:11" ht="15.75" customHeight="1">
      <c r="A472" s="39"/>
      <c r="B472" s="40"/>
      <c r="H472" s="38"/>
      <c r="K472" s="38"/>
    </row>
    <row r="473" spans="1:11" ht="15.75" customHeight="1">
      <c r="A473" s="39"/>
      <c r="B473" s="40"/>
      <c r="H473" s="38"/>
      <c r="K473" s="38"/>
    </row>
    <row r="474" spans="1:11" ht="15.75" customHeight="1">
      <c r="A474" s="39"/>
      <c r="B474" s="40"/>
      <c r="H474" s="38"/>
      <c r="K474" s="38"/>
    </row>
    <row r="475" spans="1:11" ht="15.75" customHeight="1">
      <c r="A475" s="39"/>
      <c r="B475" s="40"/>
      <c r="H475" s="38"/>
      <c r="K475" s="38"/>
    </row>
    <row r="476" spans="1:11" ht="15.75" customHeight="1">
      <c r="A476" s="39"/>
      <c r="B476" s="40"/>
      <c r="H476" s="38"/>
      <c r="K476" s="38"/>
    </row>
    <row r="477" spans="1:11" ht="15.75" customHeight="1">
      <c r="A477" s="39"/>
      <c r="B477" s="40"/>
      <c r="H477" s="38"/>
      <c r="K477" s="38"/>
    </row>
    <row r="478" spans="1:11" ht="15.75" customHeight="1">
      <c r="A478" s="39"/>
      <c r="B478" s="40"/>
      <c r="H478" s="38"/>
      <c r="K478" s="38"/>
    </row>
    <row r="479" spans="1:11" ht="15.75" customHeight="1">
      <c r="A479" s="39"/>
      <c r="B479" s="40"/>
      <c r="H479" s="38"/>
      <c r="K479" s="38"/>
    </row>
    <row r="480" spans="1:11" ht="15.75" customHeight="1">
      <c r="A480" s="39"/>
      <c r="B480" s="40"/>
      <c r="H480" s="38"/>
      <c r="K480" s="38"/>
    </row>
    <row r="481" spans="1:11" ht="15.75" customHeight="1">
      <c r="A481" s="39"/>
      <c r="B481" s="40"/>
      <c r="H481" s="38"/>
      <c r="K481" s="38"/>
    </row>
    <row r="482" spans="1:11" ht="15.75" customHeight="1">
      <c r="A482" s="39"/>
      <c r="B482" s="40"/>
      <c r="H482" s="38"/>
      <c r="K482" s="38"/>
    </row>
    <row r="483" spans="1:11" ht="15.75" customHeight="1">
      <c r="A483" s="39"/>
      <c r="B483" s="40"/>
      <c r="H483" s="38"/>
      <c r="K483" s="38"/>
    </row>
    <row r="484" spans="1:11" ht="15.75" customHeight="1">
      <c r="A484" s="39"/>
      <c r="B484" s="40"/>
      <c r="H484" s="38"/>
      <c r="K484" s="38"/>
    </row>
    <row r="485" spans="1:11" ht="15.75" customHeight="1">
      <c r="A485" s="39"/>
      <c r="B485" s="40"/>
      <c r="H485" s="38"/>
      <c r="K485" s="38"/>
    </row>
    <row r="486" spans="1:11" ht="15.75" customHeight="1">
      <c r="A486" s="39"/>
      <c r="B486" s="40"/>
      <c r="H486" s="38"/>
      <c r="K486" s="38"/>
    </row>
    <row r="487" spans="1:11" ht="15.75" customHeight="1">
      <c r="A487" s="39"/>
      <c r="B487" s="40"/>
      <c r="H487" s="38"/>
      <c r="K487" s="38"/>
    </row>
    <row r="488" spans="1:11" ht="15.75" customHeight="1">
      <c r="A488" s="39"/>
      <c r="B488" s="40"/>
      <c r="H488" s="38"/>
      <c r="K488" s="38"/>
    </row>
    <row r="489" spans="1:11" ht="15.75" customHeight="1">
      <c r="A489" s="39"/>
      <c r="B489" s="40"/>
      <c r="H489" s="38"/>
      <c r="K489" s="38"/>
    </row>
    <row r="490" spans="1:11" ht="15.75" customHeight="1">
      <c r="A490" s="39"/>
      <c r="B490" s="40"/>
      <c r="H490" s="38"/>
      <c r="K490" s="38"/>
    </row>
    <row r="491" spans="1:11" ht="15.75" customHeight="1">
      <c r="A491" s="39"/>
      <c r="B491" s="40"/>
      <c r="H491" s="38"/>
      <c r="K491" s="38"/>
    </row>
    <row r="492" spans="1:11" ht="15.75" customHeight="1">
      <c r="A492" s="39"/>
      <c r="B492" s="40"/>
      <c r="H492" s="38"/>
      <c r="K492" s="38"/>
    </row>
    <row r="493" spans="1:11" ht="15.75" customHeight="1">
      <c r="A493" s="39"/>
      <c r="B493" s="40"/>
      <c r="H493" s="38"/>
      <c r="K493" s="38"/>
    </row>
    <row r="494" spans="1:11" ht="15.75" customHeight="1">
      <c r="A494" s="39"/>
      <c r="B494" s="40"/>
      <c r="H494" s="38"/>
      <c r="K494" s="38"/>
    </row>
    <row r="495" spans="1:11" ht="15.75" customHeight="1">
      <c r="A495" s="39"/>
      <c r="B495" s="40"/>
      <c r="H495" s="38"/>
      <c r="K495" s="38"/>
    </row>
    <row r="496" spans="1:11" ht="15.75" customHeight="1">
      <c r="A496" s="39"/>
      <c r="B496" s="40"/>
      <c r="H496" s="38"/>
      <c r="K496" s="38"/>
    </row>
    <row r="497" spans="1:11" ht="15.75" customHeight="1">
      <c r="A497" s="39"/>
      <c r="B497" s="40"/>
      <c r="H497" s="38"/>
      <c r="K497" s="38"/>
    </row>
    <row r="498" spans="1:11" ht="15.75" customHeight="1">
      <c r="A498" s="39"/>
      <c r="B498" s="40"/>
      <c r="H498" s="38"/>
      <c r="K498" s="38"/>
    </row>
    <row r="499" spans="1:11" ht="15.75" customHeight="1">
      <c r="A499" s="39"/>
      <c r="B499" s="40"/>
      <c r="H499" s="38"/>
      <c r="K499" s="38"/>
    </row>
    <row r="500" spans="1:11" ht="15.75" customHeight="1">
      <c r="A500" s="39"/>
      <c r="B500" s="40"/>
      <c r="H500" s="38"/>
      <c r="K500" s="38"/>
    </row>
    <row r="501" spans="1:11" ht="15.75" customHeight="1">
      <c r="A501" s="39"/>
      <c r="B501" s="40"/>
      <c r="H501" s="38"/>
      <c r="K501" s="38"/>
    </row>
    <row r="502" spans="1:11" ht="15.75" customHeight="1">
      <c r="A502" s="39"/>
      <c r="B502" s="40"/>
      <c r="H502" s="38"/>
      <c r="K502" s="38"/>
    </row>
    <row r="503" spans="1:11" ht="15.75" customHeight="1">
      <c r="A503" s="39"/>
      <c r="B503" s="40"/>
      <c r="H503" s="38"/>
      <c r="K503" s="38"/>
    </row>
    <row r="504" spans="1:11" ht="15.75" customHeight="1">
      <c r="A504" s="39"/>
      <c r="B504" s="40"/>
      <c r="H504" s="38"/>
      <c r="K504" s="38"/>
    </row>
    <row r="505" spans="1:11" ht="15.75" customHeight="1">
      <c r="A505" s="39"/>
      <c r="B505" s="40"/>
      <c r="H505" s="38"/>
      <c r="K505" s="38"/>
    </row>
    <row r="506" spans="1:11" ht="15.75" customHeight="1">
      <c r="A506" s="39"/>
      <c r="B506" s="40"/>
      <c r="H506" s="38"/>
      <c r="K506" s="38"/>
    </row>
    <row r="507" spans="1:11" ht="15.75" customHeight="1">
      <c r="A507" s="39"/>
      <c r="B507" s="40"/>
      <c r="H507" s="38"/>
      <c r="K507" s="38"/>
    </row>
    <row r="508" spans="1:11" ht="15.75" customHeight="1">
      <c r="A508" s="39"/>
      <c r="B508" s="40"/>
      <c r="H508" s="38"/>
      <c r="K508" s="38"/>
    </row>
    <row r="509" spans="1:11" ht="15.75" customHeight="1">
      <c r="A509" s="39"/>
      <c r="B509" s="40"/>
      <c r="H509" s="38"/>
      <c r="K509" s="38"/>
    </row>
    <row r="510" spans="1:11" ht="15.75" customHeight="1">
      <c r="A510" s="39"/>
      <c r="B510" s="40"/>
      <c r="H510" s="38"/>
      <c r="K510" s="38"/>
    </row>
    <row r="511" spans="1:11" ht="15.75" customHeight="1">
      <c r="A511" s="39"/>
      <c r="B511" s="40"/>
      <c r="H511" s="38"/>
      <c r="K511" s="38"/>
    </row>
    <row r="512" spans="1:11" ht="15.75" customHeight="1">
      <c r="A512" s="39"/>
      <c r="B512" s="40"/>
      <c r="H512" s="38"/>
      <c r="K512" s="38"/>
    </row>
    <row r="513" spans="1:11" ht="15.75" customHeight="1">
      <c r="A513" s="39"/>
      <c r="B513" s="40"/>
      <c r="H513" s="38"/>
      <c r="K513" s="38"/>
    </row>
    <row r="514" spans="1:11" ht="15.75" customHeight="1">
      <c r="A514" s="39"/>
      <c r="B514" s="40"/>
      <c r="H514" s="38"/>
      <c r="K514" s="38"/>
    </row>
    <row r="515" spans="1:11" ht="15.75" customHeight="1">
      <c r="A515" s="39"/>
      <c r="B515" s="40"/>
      <c r="H515" s="38"/>
      <c r="K515" s="38"/>
    </row>
    <row r="516" spans="1:11" ht="15.75" customHeight="1">
      <c r="A516" s="39"/>
      <c r="B516" s="40"/>
      <c r="H516" s="38"/>
      <c r="K516" s="38"/>
    </row>
    <row r="517" spans="1:11" ht="15.75" customHeight="1">
      <c r="A517" s="39"/>
      <c r="B517" s="40"/>
      <c r="H517" s="38"/>
      <c r="K517" s="38"/>
    </row>
    <row r="518" spans="1:11" ht="15.75" customHeight="1">
      <c r="A518" s="39"/>
      <c r="B518" s="40"/>
      <c r="H518" s="38"/>
      <c r="K518" s="38"/>
    </row>
    <row r="519" spans="1:11" ht="15.75" customHeight="1">
      <c r="A519" s="39"/>
      <c r="B519" s="40"/>
      <c r="H519" s="38"/>
      <c r="K519" s="38"/>
    </row>
    <row r="520" spans="1:11" ht="15.75" customHeight="1">
      <c r="A520" s="39"/>
      <c r="B520" s="40"/>
      <c r="H520" s="38"/>
      <c r="K520" s="38"/>
    </row>
    <row r="521" spans="1:11" ht="15.75" customHeight="1">
      <c r="A521" s="39"/>
      <c r="B521" s="40"/>
      <c r="H521" s="38"/>
      <c r="K521" s="38"/>
    </row>
    <row r="522" spans="1:11" ht="15.75" customHeight="1">
      <c r="A522" s="39"/>
      <c r="B522" s="40"/>
      <c r="H522" s="38"/>
      <c r="K522" s="38"/>
    </row>
    <row r="523" spans="1:11" ht="15.75" customHeight="1">
      <c r="A523" s="39"/>
      <c r="B523" s="40"/>
      <c r="H523" s="38"/>
      <c r="K523" s="38"/>
    </row>
    <row r="524" spans="1:11" ht="15.75" customHeight="1">
      <c r="A524" s="39"/>
      <c r="B524" s="40"/>
      <c r="H524" s="38"/>
      <c r="K524" s="38"/>
    </row>
    <row r="525" spans="1:11" ht="15.75" customHeight="1">
      <c r="A525" s="39"/>
      <c r="B525" s="40"/>
      <c r="H525" s="38"/>
      <c r="K525" s="38"/>
    </row>
    <row r="526" spans="1:11" ht="15.75" customHeight="1">
      <c r="A526" s="39"/>
      <c r="B526" s="40"/>
      <c r="H526" s="38"/>
      <c r="K526" s="38"/>
    </row>
    <row r="527" spans="1:11" ht="15.75" customHeight="1">
      <c r="A527" s="39"/>
      <c r="B527" s="40"/>
      <c r="H527" s="38"/>
      <c r="K527" s="38"/>
    </row>
    <row r="528" spans="1:11" ht="15.75" customHeight="1">
      <c r="A528" s="39"/>
      <c r="B528" s="40"/>
      <c r="H528" s="38"/>
      <c r="K528" s="38"/>
    </row>
    <row r="529" spans="1:11" ht="15.75" customHeight="1">
      <c r="A529" s="39"/>
      <c r="B529" s="40"/>
      <c r="H529" s="38"/>
      <c r="K529" s="38"/>
    </row>
    <row r="530" spans="1:11" ht="15.75" customHeight="1">
      <c r="A530" s="39"/>
      <c r="B530" s="40"/>
      <c r="H530" s="38"/>
      <c r="K530" s="38"/>
    </row>
    <row r="531" spans="1:11" ht="15.75" customHeight="1">
      <c r="A531" s="39"/>
      <c r="B531" s="40"/>
      <c r="H531" s="38"/>
      <c r="K531" s="38"/>
    </row>
    <row r="532" spans="1:11" ht="15.75" customHeight="1">
      <c r="A532" s="39"/>
      <c r="B532" s="40"/>
      <c r="H532" s="38"/>
      <c r="K532" s="38"/>
    </row>
    <row r="533" spans="1:11" ht="15.75" customHeight="1">
      <c r="A533" s="39"/>
      <c r="B533" s="40"/>
      <c r="H533" s="38"/>
      <c r="K533" s="38"/>
    </row>
    <row r="534" spans="1:11" ht="15.75" customHeight="1">
      <c r="A534" s="39"/>
      <c r="B534" s="40"/>
      <c r="H534" s="38"/>
      <c r="K534" s="38"/>
    </row>
    <row r="535" spans="1:11" ht="15.75" customHeight="1">
      <c r="A535" s="39"/>
      <c r="B535" s="40"/>
      <c r="H535" s="38"/>
      <c r="K535" s="38"/>
    </row>
    <row r="536" spans="1:11" ht="15.75" customHeight="1">
      <c r="A536" s="39"/>
      <c r="B536" s="40"/>
      <c r="H536" s="38"/>
      <c r="K536" s="38"/>
    </row>
    <row r="537" spans="1:11" ht="15.75" customHeight="1">
      <c r="A537" s="39"/>
      <c r="B537" s="40"/>
      <c r="H537" s="38"/>
      <c r="K537" s="38"/>
    </row>
    <row r="538" spans="1:11" ht="15.75" customHeight="1">
      <c r="A538" s="39"/>
      <c r="B538" s="40"/>
      <c r="H538" s="38"/>
      <c r="K538" s="38"/>
    </row>
    <row r="539" spans="1:11" ht="15.75" customHeight="1">
      <c r="A539" s="39"/>
      <c r="B539" s="40"/>
      <c r="H539" s="38"/>
      <c r="K539" s="38"/>
    </row>
    <row r="540" spans="1:11" ht="15.75" customHeight="1">
      <c r="A540" s="39"/>
      <c r="B540" s="40"/>
      <c r="H540" s="38"/>
      <c r="K540" s="38"/>
    </row>
    <row r="541" spans="1:11" ht="15.75" customHeight="1">
      <c r="A541" s="39"/>
      <c r="B541" s="40"/>
      <c r="H541" s="38"/>
      <c r="K541" s="38"/>
    </row>
    <row r="542" spans="1:11" ht="15.75" customHeight="1">
      <c r="A542" s="39"/>
      <c r="B542" s="40"/>
      <c r="H542" s="38"/>
      <c r="K542" s="38"/>
    </row>
    <row r="543" spans="1:11" ht="15.75" customHeight="1">
      <c r="A543" s="39"/>
      <c r="B543" s="40"/>
      <c r="H543" s="38"/>
      <c r="K543" s="38"/>
    </row>
    <row r="544" spans="1:11" ht="15.75" customHeight="1">
      <c r="A544" s="39"/>
      <c r="B544" s="40"/>
      <c r="H544" s="38"/>
      <c r="K544" s="38"/>
    </row>
    <row r="545" spans="1:11" ht="15.75" customHeight="1">
      <c r="A545" s="39"/>
      <c r="B545" s="40"/>
      <c r="H545" s="38"/>
      <c r="K545" s="38"/>
    </row>
    <row r="546" spans="1:11" ht="15.75" customHeight="1">
      <c r="A546" s="39"/>
      <c r="B546" s="40"/>
      <c r="H546" s="38"/>
      <c r="K546" s="38"/>
    </row>
    <row r="547" spans="1:11" ht="15.75" customHeight="1">
      <c r="A547" s="39"/>
      <c r="B547" s="40"/>
      <c r="H547" s="38"/>
      <c r="K547" s="38"/>
    </row>
    <row r="548" spans="1:11" ht="15.75" customHeight="1">
      <c r="A548" s="39"/>
      <c r="B548" s="40"/>
      <c r="H548" s="38"/>
      <c r="K548" s="38"/>
    </row>
    <row r="549" spans="1:11" ht="15.75" customHeight="1">
      <c r="A549" s="39"/>
      <c r="B549" s="40"/>
      <c r="H549" s="38"/>
      <c r="K549" s="38"/>
    </row>
    <row r="550" spans="1:11" ht="15.75" customHeight="1">
      <c r="A550" s="39"/>
      <c r="B550" s="40"/>
      <c r="H550" s="38"/>
      <c r="K550" s="38"/>
    </row>
    <row r="551" spans="1:11" ht="15.75" customHeight="1">
      <c r="A551" s="39"/>
      <c r="B551" s="40"/>
      <c r="H551" s="38"/>
      <c r="K551" s="38"/>
    </row>
    <row r="552" spans="1:11" ht="15.75" customHeight="1">
      <c r="A552" s="39"/>
      <c r="B552" s="40"/>
      <c r="H552" s="38"/>
      <c r="K552" s="38"/>
    </row>
    <row r="553" spans="1:11" ht="15.75" customHeight="1">
      <c r="A553" s="39"/>
      <c r="B553" s="40"/>
      <c r="H553" s="38"/>
      <c r="K553" s="38"/>
    </row>
    <row r="554" spans="1:11" ht="15.75" customHeight="1">
      <c r="A554" s="39"/>
      <c r="B554" s="40"/>
      <c r="H554" s="38"/>
      <c r="K554" s="38"/>
    </row>
    <row r="555" spans="1:11" ht="15.75" customHeight="1">
      <c r="A555" s="39"/>
      <c r="B555" s="40"/>
      <c r="H555" s="38"/>
      <c r="K555" s="38"/>
    </row>
    <row r="556" spans="1:11" ht="15.75" customHeight="1">
      <c r="A556" s="39"/>
      <c r="B556" s="40"/>
      <c r="H556" s="38"/>
      <c r="K556" s="38"/>
    </row>
    <row r="557" spans="1:11" ht="15.75" customHeight="1">
      <c r="A557" s="39"/>
      <c r="B557" s="40"/>
      <c r="H557" s="38"/>
      <c r="K557" s="38"/>
    </row>
    <row r="558" spans="1:11" ht="15.75" customHeight="1">
      <c r="A558" s="39"/>
      <c r="B558" s="40"/>
      <c r="H558" s="38"/>
      <c r="K558" s="38"/>
    </row>
    <row r="559" spans="1:11" ht="15.75" customHeight="1">
      <c r="A559" s="39"/>
      <c r="B559" s="40"/>
      <c r="H559" s="38"/>
      <c r="K559" s="38"/>
    </row>
    <row r="560" spans="1:11" ht="15.75" customHeight="1">
      <c r="A560" s="39"/>
      <c r="B560" s="40"/>
      <c r="H560" s="38"/>
      <c r="K560" s="38"/>
    </row>
    <row r="561" spans="1:11" ht="15.75" customHeight="1">
      <c r="A561" s="39"/>
      <c r="B561" s="40"/>
      <c r="H561" s="38"/>
      <c r="K561" s="38"/>
    </row>
    <row r="562" spans="1:11" ht="15.75" customHeight="1">
      <c r="A562" s="39"/>
      <c r="B562" s="40"/>
      <c r="H562" s="38"/>
      <c r="K562" s="38"/>
    </row>
    <row r="563" spans="1:11" ht="15.75" customHeight="1">
      <c r="A563" s="39"/>
      <c r="B563" s="40"/>
      <c r="H563" s="38"/>
      <c r="K563" s="38"/>
    </row>
    <row r="564" spans="1:11" ht="15.75" customHeight="1">
      <c r="A564" s="39"/>
      <c r="B564" s="40"/>
      <c r="H564" s="38"/>
      <c r="K564" s="38"/>
    </row>
    <row r="565" spans="1:11" ht="15.75" customHeight="1">
      <c r="A565" s="39"/>
      <c r="B565" s="40"/>
      <c r="H565" s="38"/>
      <c r="K565" s="38"/>
    </row>
    <row r="566" spans="1:11" ht="15.75" customHeight="1">
      <c r="A566" s="39"/>
      <c r="B566" s="40"/>
      <c r="H566" s="38"/>
      <c r="K566" s="38"/>
    </row>
    <row r="567" spans="1:11" ht="15.75" customHeight="1">
      <c r="A567" s="39"/>
      <c r="B567" s="40"/>
      <c r="H567" s="38"/>
      <c r="K567" s="38"/>
    </row>
    <row r="568" spans="1:11" ht="15.75" customHeight="1">
      <c r="A568" s="39"/>
      <c r="B568" s="40"/>
      <c r="H568" s="38"/>
      <c r="K568" s="38"/>
    </row>
    <row r="569" spans="1:11" ht="15.75" customHeight="1">
      <c r="A569" s="39"/>
      <c r="B569" s="40"/>
      <c r="H569" s="38"/>
      <c r="K569" s="38"/>
    </row>
    <row r="570" spans="1:11" ht="15.75" customHeight="1">
      <c r="A570" s="39"/>
      <c r="B570" s="40"/>
      <c r="H570" s="38"/>
      <c r="K570" s="38"/>
    </row>
    <row r="571" spans="1:11" ht="15.75" customHeight="1">
      <c r="A571" s="39"/>
      <c r="B571" s="40"/>
      <c r="H571" s="38"/>
      <c r="K571" s="38"/>
    </row>
    <row r="572" spans="1:11" ht="15.75" customHeight="1">
      <c r="A572" s="39"/>
      <c r="B572" s="40"/>
      <c r="H572" s="38"/>
      <c r="K572" s="38"/>
    </row>
    <row r="573" spans="1:11" ht="15.75" customHeight="1">
      <c r="A573" s="39"/>
      <c r="B573" s="40"/>
      <c r="H573" s="38"/>
      <c r="K573" s="38"/>
    </row>
    <row r="574" spans="1:11" ht="15.75" customHeight="1">
      <c r="A574" s="39"/>
      <c r="B574" s="40"/>
      <c r="H574" s="38"/>
      <c r="K574" s="38"/>
    </row>
    <row r="575" spans="1:11" ht="15.75" customHeight="1">
      <c r="A575" s="39"/>
      <c r="B575" s="40"/>
      <c r="H575" s="38"/>
      <c r="K575" s="38"/>
    </row>
    <row r="576" spans="1:11" ht="15.75" customHeight="1">
      <c r="A576" s="39"/>
      <c r="B576" s="40"/>
      <c r="H576" s="38"/>
      <c r="K576" s="38"/>
    </row>
    <row r="577" spans="1:11" ht="15.75" customHeight="1">
      <c r="A577" s="39"/>
      <c r="B577" s="40"/>
      <c r="H577" s="38"/>
      <c r="K577" s="38"/>
    </row>
    <row r="578" spans="1:11" ht="15.75" customHeight="1">
      <c r="A578" s="39"/>
      <c r="B578" s="40"/>
      <c r="H578" s="38"/>
      <c r="K578" s="38"/>
    </row>
    <row r="579" spans="1:11" ht="15.75" customHeight="1">
      <c r="A579" s="39"/>
      <c r="B579" s="40"/>
      <c r="H579" s="38"/>
      <c r="K579" s="38"/>
    </row>
    <row r="580" spans="1:11" ht="15.75" customHeight="1">
      <c r="A580" s="39"/>
      <c r="B580" s="40"/>
      <c r="H580" s="38"/>
      <c r="K580" s="38"/>
    </row>
    <row r="581" spans="1:11" ht="15.75" customHeight="1">
      <c r="A581" s="39"/>
      <c r="B581" s="40"/>
      <c r="H581" s="38"/>
      <c r="K581" s="38"/>
    </row>
    <row r="582" spans="1:11" ht="15.75" customHeight="1">
      <c r="A582" s="39"/>
      <c r="B582" s="40"/>
      <c r="H582" s="38"/>
      <c r="K582" s="38"/>
    </row>
    <row r="583" spans="1:11" ht="15.75" customHeight="1">
      <c r="A583" s="39"/>
      <c r="B583" s="40"/>
      <c r="H583" s="38"/>
      <c r="K583" s="38"/>
    </row>
    <row r="584" spans="1:11" ht="15.75" customHeight="1">
      <c r="A584" s="39"/>
      <c r="B584" s="40"/>
      <c r="H584" s="38"/>
      <c r="K584" s="38"/>
    </row>
    <row r="585" spans="1:11" ht="15.75" customHeight="1">
      <c r="A585" s="39"/>
      <c r="B585" s="40"/>
      <c r="H585" s="38"/>
      <c r="K585" s="38"/>
    </row>
    <row r="586" spans="1:11" ht="15.75" customHeight="1">
      <c r="A586" s="39"/>
      <c r="B586" s="40"/>
      <c r="H586" s="38"/>
      <c r="K586" s="38"/>
    </row>
    <row r="587" spans="1:11" ht="15.75" customHeight="1">
      <c r="A587" s="39"/>
      <c r="B587" s="40"/>
      <c r="H587" s="38"/>
      <c r="K587" s="38"/>
    </row>
    <row r="588" spans="1:11" ht="15.75" customHeight="1">
      <c r="A588" s="39"/>
      <c r="B588" s="40"/>
      <c r="H588" s="38"/>
      <c r="K588" s="38"/>
    </row>
    <row r="589" spans="1:11" ht="15.75" customHeight="1">
      <c r="A589" s="39"/>
      <c r="B589" s="40"/>
      <c r="H589" s="38"/>
      <c r="K589" s="38"/>
    </row>
    <row r="590" spans="1:11" ht="15.75" customHeight="1">
      <c r="A590" s="39"/>
      <c r="B590" s="40"/>
      <c r="H590" s="38"/>
      <c r="K590" s="38"/>
    </row>
    <row r="591" spans="1:11" ht="15.75" customHeight="1">
      <c r="A591" s="39"/>
      <c r="B591" s="40"/>
      <c r="H591" s="38"/>
      <c r="K591" s="38"/>
    </row>
    <row r="592" spans="1:11" ht="15.75" customHeight="1">
      <c r="A592" s="39"/>
      <c r="B592" s="40"/>
      <c r="H592" s="38"/>
      <c r="K592" s="38"/>
    </row>
    <row r="593" spans="1:11" ht="15.75" customHeight="1">
      <c r="A593" s="39"/>
      <c r="B593" s="40"/>
      <c r="H593" s="38"/>
      <c r="K593" s="38"/>
    </row>
    <row r="594" spans="1:11" ht="15.75" customHeight="1">
      <c r="A594" s="39"/>
      <c r="B594" s="40"/>
      <c r="H594" s="38"/>
      <c r="K594" s="38"/>
    </row>
    <row r="595" spans="1:11" ht="15.75" customHeight="1">
      <c r="A595" s="39"/>
      <c r="B595" s="40"/>
      <c r="H595" s="38"/>
      <c r="K595" s="38"/>
    </row>
    <row r="596" spans="1:11" ht="15.75" customHeight="1">
      <c r="A596" s="39"/>
      <c r="B596" s="40"/>
      <c r="H596" s="38"/>
      <c r="K596" s="38"/>
    </row>
    <row r="597" spans="1:11" ht="15.75" customHeight="1">
      <c r="A597" s="39"/>
      <c r="B597" s="40"/>
      <c r="H597" s="38"/>
      <c r="K597" s="38"/>
    </row>
    <row r="598" spans="1:11" ht="15.75" customHeight="1">
      <c r="A598" s="39"/>
      <c r="B598" s="40"/>
      <c r="H598" s="38"/>
      <c r="K598" s="38"/>
    </row>
    <row r="599" spans="1:11" ht="15.75" customHeight="1">
      <c r="A599" s="39"/>
      <c r="B599" s="40"/>
      <c r="H599" s="38"/>
      <c r="K599" s="38"/>
    </row>
    <row r="600" spans="1:11" ht="15.75" customHeight="1">
      <c r="A600" s="39"/>
      <c r="B600" s="40"/>
      <c r="H600" s="38"/>
      <c r="K600" s="38"/>
    </row>
    <row r="601" spans="1:11" ht="15.75" customHeight="1">
      <c r="A601" s="39"/>
      <c r="B601" s="40"/>
      <c r="H601" s="38"/>
      <c r="K601" s="38"/>
    </row>
    <row r="602" spans="1:11" ht="15.75" customHeight="1">
      <c r="A602" s="39"/>
      <c r="B602" s="40"/>
      <c r="H602" s="38"/>
      <c r="K602" s="38"/>
    </row>
    <row r="603" spans="1:11" ht="15.75" customHeight="1">
      <c r="A603" s="39"/>
      <c r="B603" s="40"/>
      <c r="H603" s="38"/>
      <c r="K603" s="38"/>
    </row>
    <row r="604" spans="1:11" ht="15.75" customHeight="1">
      <c r="A604" s="39"/>
      <c r="B604" s="40"/>
      <c r="H604" s="38"/>
      <c r="K604" s="38"/>
    </row>
    <row r="605" spans="1:11" ht="15.75" customHeight="1">
      <c r="A605" s="39"/>
      <c r="B605" s="40"/>
      <c r="H605" s="38"/>
      <c r="K605" s="38"/>
    </row>
    <row r="606" spans="1:11" ht="15.75" customHeight="1">
      <c r="A606" s="39"/>
      <c r="B606" s="40"/>
      <c r="H606" s="38"/>
      <c r="K606" s="38"/>
    </row>
    <row r="607" spans="1:11" ht="15.75" customHeight="1">
      <c r="A607" s="39"/>
      <c r="B607" s="40"/>
      <c r="H607" s="38"/>
      <c r="K607" s="38"/>
    </row>
    <row r="608" spans="1:11" ht="15.75" customHeight="1">
      <c r="A608" s="39"/>
      <c r="B608" s="40"/>
      <c r="H608" s="38"/>
      <c r="K608" s="38"/>
    </row>
    <row r="609" spans="1:11" ht="15.75" customHeight="1">
      <c r="A609" s="39"/>
      <c r="B609" s="40"/>
      <c r="H609" s="38"/>
      <c r="K609" s="38"/>
    </row>
    <row r="610" spans="1:11" ht="15.75" customHeight="1">
      <c r="A610" s="39"/>
      <c r="B610" s="40"/>
      <c r="H610" s="38"/>
      <c r="K610" s="38"/>
    </row>
    <row r="611" spans="1:11" ht="15.75" customHeight="1">
      <c r="A611" s="39"/>
      <c r="B611" s="40"/>
      <c r="H611" s="38"/>
      <c r="K611" s="38"/>
    </row>
    <row r="612" spans="1:11" ht="15.75" customHeight="1">
      <c r="A612" s="39"/>
      <c r="B612" s="40"/>
      <c r="H612" s="38"/>
      <c r="K612" s="38"/>
    </row>
    <row r="613" spans="1:11" ht="15.75" customHeight="1">
      <c r="A613" s="39"/>
      <c r="B613" s="40"/>
      <c r="H613" s="38"/>
      <c r="K613" s="38"/>
    </row>
    <row r="614" spans="1:11" ht="15.75" customHeight="1">
      <c r="A614" s="39"/>
      <c r="B614" s="40"/>
      <c r="H614" s="38"/>
      <c r="K614" s="38"/>
    </row>
    <row r="615" spans="1:11" ht="15.75" customHeight="1">
      <c r="A615" s="39"/>
      <c r="B615" s="40"/>
      <c r="H615" s="38"/>
      <c r="K615" s="38"/>
    </row>
    <row r="616" spans="1:11" ht="15.75" customHeight="1">
      <c r="A616" s="39"/>
      <c r="B616" s="40"/>
      <c r="H616" s="38"/>
      <c r="K616" s="38"/>
    </row>
    <row r="617" spans="1:11" ht="15.75" customHeight="1">
      <c r="A617" s="39"/>
      <c r="B617" s="40"/>
      <c r="H617" s="38"/>
      <c r="K617" s="38"/>
    </row>
    <row r="618" spans="1:11" ht="15.75" customHeight="1">
      <c r="A618" s="39"/>
      <c r="B618" s="40"/>
      <c r="H618" s="38"/>
      <c r="K618" s="38"/>
    </row>
    <row r="619" spans="1:11" ht="15.75" customHeight="1">
      <c r="A619" s="39"/>
      <c r="B619" s="40"/>
      <c r="H619" s="38"/>
      <c r="K619" s="38"/>
    </row>
    <row r="620" spans="1:11" ht="15.75" customHeight="1">
      <c r="A620" s="39"/>
      <c r="B620" s="40"/>
      <c r="H620" s="38"/>
      <c r="K620" s="38"/>
    </row>
    <row r="621" spans="1:11" ht="15.75" customHeight="1">
      <c r="A621" s="39"/>
      <c r="B621" s="40"/>
      <c r="H621" s="38"/>
      <c r="K621" s="38"/>
    </row>
    <row r="622" spans="1:11" ht="15.75" customHeight="1">
      <c r="A622" s="39"/>
      <c r="B622" s="40"/>
      <c r="H622" s="38"/>
      <c r="K622" s="38"/>
    </row>
    <row r="623" spans="1:11" ht="15.75" customHeight="1">
      <c r="A623" s="39"/>
      <c r="B623" s="40"/>
      <c r="H623" s="38"/>
      <c r="K623" s="38"/>
    </row>
    <row r="624" spans="1:11" ht="15.75" customHeight="1">
      <c r="A624" s="39"/>
      <c r="B624" s="40"/>
      <c r="H624" s="38"/>
      <c r="K624" s="38"/>
    </row>
    <row r="625" spans="1:11" ht="15.75" customHeight="1">
      <c r="A625" s="39"/>
      <c r="B625" s="40"/>
      <c r="H625" s="38"/>
      <c r="K625" s="38"/>
    </row>
    <row r="626" spans="1:11" ht="15.75" customHeight="1">
      <c r="A626" s="39"/>
      <c r="B626" s="40"/>
      <c r="H626" s="38"/>
      <c r="K626" s="38"/>
    </row>
    <row r="627" spans="1:11" ht="15.75" customHeight="1">
      <c r="A627" s="39"/>
      <c r="B627" s="40"/>
      <c r="H627" s="38"/>
      <c r="K627" s="38"/>
    </row>
    <row r="628" spans="1:11" ht="15.75" customHeight="1">
      <c r="A628" s="39"/>
      <c r="B628" s="40"/>
      <c r="H628" s="38"/>
      <c r="K628" s="38"/>
    </row>
    <row r="629" spans="1:11" ht="15.75" customHeight="1">
      <c r="A629" s="39"/>
      <c r="B629" s="40"/>
      <c r="H629" s="38"/>
      <c r="K629" s="38"/>
    </row>
    <row r="630" spans="1:11" ht="15.75" customHeight="1">
      <c r="A630" s="39"/>
      <c r="B630" s="40"/>
      <c r="H630" s="38"/>
      <c r="K630" s="38"/>
    </row>
    <row r="631" spans="1:11" ht="15.75" customHeight="1">
      <c r="A631" s="39"/>
      <c r="B631" s="40"/>
      <c r="H631" s="38"/>
      <c r="K631" s="38"/>
    </row>
    <row r="632" spans="1:11" ht="15.75" customHeight="1">
      <c r="A632" s="39"/>
      <c r="B632" s="40"/>
      <c r="H632" s="38"/>
      <c r="K632" s="38"/>
    </row>
    <row r="633" spans="1:11" ht="15.75" customHeight="1">
      <c r="A633" s="39"/>
      <c r="B633" s="40"/>
      <c r="H633" s="38"/>
      <c r="K633" s="38"/>
    </row>
    <row r="634" spans="1:11" ht="15.75" customHeight="1">
      <c r="A634" s="39"/>
      <c r="B634" s="40"/>
      <c r="H634" s="38"/>
      <c r="K634" s="38"/>
    </row>
    <row r="635" spans="1:11" ht="15.75" customHeight="1">
      <c r="A635" s="39"/>
      <c r="B635" s="40"/>
      <c r="H635" s="38"/>
      <c r="K635" s="38"/>
    </row>
    <row r="636" spans="1:11" ht="15.75" customHeight="1">
      <c r="A636" s="39"/>
      <c r="B636" s="40"/>
      <c r="H636" s="38"/>
      <c r="K636" s="38"/>
    </row>
    <row r="637" spans="1:11" ht="15.75" customHeight="1">
      <c r="A637" s="39"/>
      <c r="B637" s="40"/>
      <c r="H637" s="38"/>
      <c r="K637" s="38"/>
    </row>
    <row r="638" spans="1:11" ht="15.75" customHeight="1">
      <c r="A638" s="39"/>
      <c r="B638" s="40"/>
      <c r="H638" s="38"/>
      <c r="K638" s="38"/>
    </row>
    <row r="639" spans="1:11" ht="15.75" customHeight="1">
      <c r="A639" s="39"/>
      <c r="B639" s="40"/>
      <c r="H639" s="38"/>
      <c r="K639" s="38"/>
    </row>
    <row r="640" spans="1:11" ht="15.75" customHeight="1">
      <c r="A640" s="39"/>
      <c r="B640" s="40"/>
      <c r="H640" s="38"/>
      <c r="K640" s="38"/>
    </row>
    <row r="641" spans="1:11" ht="15.75" customHeight="1">
      <c r="A641" s="39"/>
      <c r="B641" s="40"/>
      <c r="H641" s="38"/>
      <c r="K641" s="38"/>
    </row>
    <row r="642" spans="1:11" ht="15.75" customHeight="1">
      <c r="A642" s="39"/>
      <c r="B642" s="40"/>
      <c r="H642" s="38"/>
      <c r="K642" s="38"/>
    </row>
    <row r="643" spans="1:11" ht="15.75" customHeight="1">
      <c r="A643" s="39"/>
      <c r="B643" s="40"/>
      <c r="H643" s="38"/>
      <c r="K643" s="38"/>
    </row>
    <row r="644" spans="1:11" ht="15.75" customHeight="1">
      <c r="A644" s="39"/>
      <c r="B644" s="40"/>
      <c r="H644" s="38"/>
      <c r="K644" s="38"/>
    </row>
    <row r="645" spans="1:11" ht="15.75" customHeight="1">
      <c r="A645" s="39"/>
      <c r="B645" s="40"/>
      <c r="H645" s="38"/>
      <c r="K645" s="38"/>
    </row>
    <row r="646" spans="1:11" ht="15.75" customHeight="1">
      <c r="A646" s="39"/>
      <c r="B646" s="40"/>
      <c r="H646" s="38"/>
      <c r="K646" s="38"/>
    </row>
    <row r="647" spans="1:11" ht="15.75" customHeight="1">
      <c r="A647" s="39"/>
      <c r="B647" s="40"/>
      <c r="H647" s="38"/>
      <c r="K647" s="38"/>
    </row>
    <row r="648" spans="1:11" ht="15.75" customHeight="1">
      <c r="A648" s="39"/>
      <c r="B648" s="40"/>
      <c r="H648" s="38"/>
      <c r="K648" s="38"/>
    </row>
    <row r="649" spans="1:11" ht="15.75" customHeight="1">
      <c r="A649" s="39"/>
      <c r="B649" s="40"/>
      <c r="H649" s="38"/>
      <c r="K649" s="38"/>
    </row>
    <row r="650" spans="1:11" ht="15.75" customHeight="1">
      <c r="A650" s="39"/>
      <c r="B650" s="40"/>
      <c r="H650" s="38"/>
      <c r="K650" s="38"/>
    </row>
    <row r="651" spans="1:11" ht="15.75" customHeight="1">
      <c r="A651" s="39"/>
      <c r="B651" s="40"/>
      <c r="H651" s="38"/>
      <c r="K651" s="38"/>
    </row>
    <row r="652" spans="1:11" ht="15.75" customHeight="1">
      <c r="A652" s="39"/>
      <c r="B652" s="40"/>
      <c r="H652" s="38"/>
      <c r="K652" s="38"/>
    </row>
    <row r="653" spans="1:11" ht="15.75" customHeight="1">
      <c r="A653" s="39"/>
      <c r="B653" s="40"/>
      <c r="H653" s="38"/>
      <c r="K653" s="38"/>
    </row>
    <row r="654" spans="1:11" ht="15.75" customHeight="1">
      <c r="A654" s="39"/>
      <c r="B654" s="40"/>
      <c r="H654" s="38"/>
      <c r="K654" s="38"/>
    </row>
    <row r="655" spans="1:11" ht="15.75" customHeight="1">
      <c r="A655" s="39"/>
      <c r="B655" s="40"/>
      <c r="H655" s="38"/>
      <c r="K655" s="38"/>
    </row>
    <row r="656" spans="1:11" ht="15.75" customHeight="1">
      <c r="A656" s="39"/>
      <c r="B656" s="40"/>
      <c r="H656" s="38"/>
      <c r="K656" s="38"/>
    </row>
    <row r="657" spans="1:11" ht="15.75" customHeight="1">
      <c r="A657" s="39"/>
      <c r="B657" s="40"/>
      <c r="H657" s="38"/>
      <c r="K657" s="38"/>
    </row>
    <row r="658" spans="1:11" ht="15.75" customHeight="1">
      <c r="A658" s="39"/>
      <c r="B658" s="40"/>
      <c r="H658" s="38"/>
      <c r="K658" s="38"/>
    </row>
    <row r="659" spans="1:11" ht="15.75" customHeight="1">
      <c r="A659" s="39"/>
      <c r="B659" s="40"/>
      <c r="H659" s="38"/>
      <c r="K659" s="38"/>
    </row>
    <row r="660" spans="1:11" ht="15.75" customHeight="1">
      <c r="A660" s="39"/>
      <c r="B660" s="40"/>
      <c r="H660" s="38"/>
      <c r="K660" s="38"/>
    </row>
    <row r="661" spans="1:11" ht="15.75" customHeight="1">
      <c r="A661" s="39"/>
      <c r="B661" s="40"/>
      <c r="H661" s="38"/>
      <c r="K661" s="38"/>
    </row>
    <row r="662" spans="1:11" ht="15.75" customHeight="1">
      <c r="A662" s="39"/>
      <c r="B662" s="40"/>
      <c r="H662" s="38"/>
      <c r="K662" s="38"/>
    </row>
    <row r="663" spans="1:11" ht="15.75" customHeight="1">
      <c r="A663" s="39"/>
      <c r="B663" s="40"/>
      <c r="H663" s="38"/>
      <c r="K663" s="38"/>
    </row>
    <row r="664" spans="1:11" ht="15.75" customHeight="1">
      <c r="A664" s="39"/>
      <c r="B664" s="40"/>
      <c r="H664" s="38"/>
      <c r="K664" s="38"/>
    </row>
    <row r="665" spans="1:11" ht="15.75" customHeight="1">
      <c r="A665" s="39"/>
      <c r="B665" s="40"/>
      <c r="H665" s="38"/>
      <c r="K665" s="38"/>
    </row>
    <row r="666" spans="1:11" ht="15.75" customHeight="1">
      <c r="A666" s="39"/>
      <c r="B666" s="40"/>
      <c r="H666" s="38"/>
      <c r="K666" s="38"/>
    </row>
    <row r="667" spans="1:11" ht="15.75" customHeight="1">
      <c r="A667" s="39"/>
      <c r="B667" s="40"/>
      <c r="H667" s="38"/>
      <c r="K667" s="38"/>
    </row>
    <row r="668" spans="1:11" ht="15.75" customHeight="1">
      <c r="A668" s="39"/>
      <c r="B668" s="40"/>
      <c r="H668" s="38"/>
      <c r="K668" s="38"/>
    </row>
    <row r="669" spans="1:11" ht="15.75" customHeight="1">
      <c r="A669" s="39"/>
      <c r="B669" s="40"/>
      <c r="H669" s="38"/>
      <c r="K669" s="38"/>
    </row>
    <row r="670" spans="1:11" ht="15.75" customHeight="1">
      <c r="A670" s="39"/>
      <c r="B670" s="40"/>
      <c r="H670" s="38"/>
      <c r="K670" s="38"/>
    </row>
    <row r="671" spans="1:11" ht="15.75" customHeight="1">
      <c r="A671" s="39"/>
      <c r="B671" s="40"/>
      <c r="H671" s="38"/>
      <c r="K671" s="38"/>
    </row>
    <row r="672" spans="1:11" ht="15.75" customHeight="1">
      <c r="A672" s="39"/>
      <c r="B672" s="40"/>
      <c r="H672" s="38"/>
      <c r="K672" s="38"/>
    </row>
    <row r="673" spans="1:11" ht="15.75" customHeight="1">
      <c r="A673" s="39"/>
      <c r="B673" s="40"/>
      <c r="H673" s="38"/>
      <c r="K673" s="38"/>
    </row>
    <row r="674" spans="1:11" ht="15.75" customHeight="1">
      <c r="A674" s="39"/>
      <c r="B674" s="40"/>
      <c r="H674" s="38"/>
      <c r="K674" s="38"/>
    </row>
    <row r="675" spans="1:11" ht="15.75" customHeight="1">
      <c r="A675" s="39"/>
      <c r="B675" s="40"/>
      <c r="H675" s="38"/>
      <c r="K675" s="38"/>
    </row>
    <row r="676" spans="1:11" ht="15.75" customHeight="1">
      <c r="A676" s="39"/>
      <c r="B676" s="40"/>
      <c r="H676" s="38"/>
      <c r="K676" s="38"/>
    </row>
    <row r="677" spans="1:11" ht="15.75" customHeight="1">
      <c r="A677" s="39"/>
      <c r="B677" s="40"/>
      <c r="H677" s="38"/>
      <c r="K677" s="38"/>
    </row>
    <row r="678" spans="1:11" ht="15.75" customHeight="1">
      <c r="A678" s="39"/>
      <c r="B678" s="40"/>
      <c r="H678" s="38"/>
      <c r="K678" s="38"/>
    </row>
    <row r="679" spans="1:11" ht="15.75" customHeight="1">
      <c r="A679" s="39"/>
      <c r="B679" s="40"/>
      <c r="H679" s="38"/>
      <c r="K679" s="38"/>
    </row>
    <row r="680" spans="1:11" ht="15.75" customHeight="1">
      <c r="A680" s="39"/>
      <c r="B680" s="40"/>
      <c r="H680" s="38"/>
      <c r="K680" s="38"/>
    </row>
    <row r="681" spans="1:11" ht="15.75" customHeight="1">
      <c r="A681" s="39"/>
      <c r="B681" s="40"/>
      <c r="H681" s="38"/>
      <c r="K681" s="38"/>
    </row>
    <row r="682" spans="1:11" ht="15.75" customHeight="1">
      <c r="A682" s="39"/>
      <c r="B682" s="40"/>
      <c r="H682" s="38"/>
      <c r="K682" s="38"/>
    </row>
    <row r="683" spans="1:11" ht="15.75" customHeight="1">
      <c r="A683" s="39"/>
      <c r="B683" s="40"/>
      <c r="H683" s="38"/>
      <c r="K683" s="38"/>
    </row>
    <row r="684" spans="1:11" ht="15.75" customHeight="1">
      <c r="A684" s="39"/>
      <c r="B684" s="40"/>
      <c r="H684" s="38"/>
      <c r="K684" s="38"/>
    </row>
    <row r="685" spans="1:11" ht="15.75" customHeight="1">
      <c r="A685" s="39"/>
      <c r="B685" s="40"/>
      <c r="H685" s="38"/>
      <c r="K685" s="38"/>
    </row>
    <row r="686" spans="1:11" ht="15.75" customHeight="1">
      <c r="A686" s="39"/>
      <c r="B686" s="40"/>
      <c r="H686" s="38"/>
      <c r="K686" s="38"/>
    </row>
    <row r="687" spans="1:11" ht="15.75" customHeight="1">
      <c r="A687" s="39"/>
      <c r="B687" s="40"/>
      <c r="H687" s="38"/>
      <c r="K687" s="38"/>
    </row>
    <row r="688" spans="1:11" ht="15.75" customHeight="1">
      <c r="A688" s="39"/>
      <c r="B688" s="40"/>
      <c r="H688" s="38"/>
      <c r="K688" s="38"/>
    </row>
    <row r="689" spans="1:11" ht="15.75" customHeight="1">
      <c r="A689" s="39"/>
      <c r="B689" s="40"/>
      <c r="H689" s="38"/>
      <c r="K689" s="38"/>
    </row>
    <row r="690" spans="1:11" ht="15.75" customHeight="1">
      <c r="A690" s="39"/>
      <c r="B690" s="40"/>
      <c r="H690" s="38"/>
      <c r="K690" s="38"/>
    </row>
    <row r="691" spans="1:11" ht="15.75" customHeight="1">
      <c r="A691" s="39"/>
      <c r="B691" s="40"/>
      <c r="H691" s="38"/>
      <c r="K691" s="38"/>
    </row>
    <row r="692" spans="1:11" ht="15.75" customHeight="1">
      <c r="A692" s="39"/>
      <c r="B692" s="40"/>
      <c r="H692" s="38"/>
      <c r="K692" s="38"/>
    </row>
    <row r="693" spans="1:11" ht="15.75" customHeight="1">
      <c r="A693" s="39"/>
      <c r="B693" s="40"/>
      <c r="H693" s="38"/>
      <c r="K693" s="38"/>
    </row>
    <row r="694" spans="1:11" ht="15.75" customHeight="1">
      <c r="A694" s="39"/>
      <c r="B694" s="40"/>
      <c r="H694" s="38"/>
      <c r="K694" s="38"/>
    </row>
    <row r="695" spans="1:11" ht="15.75" customHeight="1">
      <c r="A695" s="39"/>
      <c r="B695" s="40"/>
      <c r="H695" s="38"/>
      <c r="K695" s="38"/>
    </row>
    <row r="696" spans="1:11" ht="15.75" customHeight="1">
      <c r="A696" s="39"/>
      <c r="B696" s="40"/>
      <c r="H696" s="38"/>
      <c r="K696" s="38"/>
    </row>
    <row r="697" spans="1:11" ht="15.75" customHeight="1">
      <c r="A697" s="39"/>
      <c r="B697" s="40"/>
      <c r="H697" s="38"/>
      <c r="K697" s="38"/>
    </row>
    <row r="698" spans="1:11" ht="15.75" customHeight="1">
      <c r="A698" s="39"/>
      <c r="B698" s="40"/>
      <c r="H698" s="38"/>
      <c r="K698" s="38"/>
    </row>
    <row r="699" spans="1:11" ht="15.75" customHeight="1">
      <c r="A699" s="39"/>
      <c r="B699" s="40"/>
      <c r="H699" s="38"/>
      <c r="K699" s="38"/>
    </row>
    <row r="700" spans="1:11" ht="15.75" customHeight="1">
      <c r="A700" s="39"/>
      <c r="B700" s="40"/>
      <c r="H700" s="38"/>
      <c r="K700" s="38"/>
    </row>
    <row r="701" spans="1:11" ht="15.75" customHeight="1">
      <c r="A701" s="39"/>
      <c r="B701" s="40"/>
      <c r="H701" s="38"/>
      <c r="K701" s="38"/>
    </row>
    <row r="702" spans="1:11" ht="15.75" customHeight="1">
      <c r="A702" s="39"/>
      <c r="B702" s="40"/>
      <c r="H702" s="38"/>
      <c r="K702" s="38"/>
    </row>
    <row r="703" spans="1:11" ht="15.75" customHeight="1">
      <c r="A703" s="39"/>
      <c r="B703" s="40"/>
      <c r="H703" s="38"/>
      <c r="K703" s="38"/>
    </row>
    <row r="704" spans="1:11" ht="15.75" customHeight="1">
      <c r="A704" s="39"/>
      <c r="B704" s="40"/>
      <c r="H704" s="38"/>
      <c r="K704" s="38"/>
    </row>
    <row r="705" spans="1:11" ht="15.75" customHeight="1">
      <c r="A705" s="39"/>
      <c r="B705" s="40"/>
      <c r="H705" s="38"/>
      <c r="K705" s="38"/>
    </row>
    <row r="706" spans="1:11" ht="15.75" customHeight="1">
      <c r="A706" s="39"/>
      <c r="B706" s="40"/>
      <c r="H706" s="38"/>
      <c r="K706" s="38"/>
    </row>
    <row r="707" spans="1:11" ht="15.75" customHeight="1">
      <c r="A707" s="39"/>
      <c r="B707" s="40"/>
      <c r="H707" s="38"/>
      <c r="K707" s="38"/>
    </row>
    <row r="708" spans="1:11" ht="15.75" customHeight="1">
      <c r="A708" s="39"/>
      <c r="B708" s="40"/>
      <c r="H708" s="38"/>
      <c r="K708" s="38"/>
    </row>
    <row r="709" spans="1:11" ht="15.75" customHeight="1">
      <c r="A709" s="39"/>
      <c r="B709" s="40"/>
      <c r="H709" s="38"/>
      <c r="K709" s="38"/>
    </row>
    <row r="710" spans="1:11" ht="15.75" customHeight="1">
      <c r="A710" s="39"/>
      <c r="B710" s="40"/>
      <c r="H710" s="38"/>
      <c r="K710" s="38"/>
    </row>
    <row r="711" spans="1:11" ht="15.75" customHeight="1">
      <c r="A711" s="39"/>
      <c r="B711" s="40"/>
      <c r="H711" s="38"/>
      <c r="K711" s="38"/>
    </row>
    <row r="712" spans="1:11" ht="15.75" customHeight="1">
      <c r="A712" s="39"/>
      <c r="B712" s="40"/>
      <c r="H712" s="38"/>
      <c r="K712" s="38"/>
    </row>
    <row r="713" spans="1:11" ht="15.75" customHeight="1">
      <c r="A713" s="39"/>
      <c r="B713" s="40"/>
      <c r="H713" s="38"/>
      <c r="K713" s="38"/>
    </row>
    <row r="714" spans="1:11" ht="15.75" customHeight="1">
      <c r="A714" s="39"/>
      <c r="B714" s="40"/>
      <c r="H714" s="38"/>
      <c r="K714" s="38"/>
    </row>
    <row r="715" spans="1:11" ht="15.75" customHeight="1">
      <c r="A715" s="39"/>
      <c r="B715" s="40"/>
      <c r="H715" s="38"/>
      <c r="K715" s="38"/>
    </row>
    <row r="716" spans="1:11" ht="15.75" customHeight="1">
      <c r="A716" s="39"/>
      <c r="B716" s="40"/>
      <c r="H716" s="38"/>
      <c r="K716" s="38"/>
    </row>
    <row r="717" spans="1:11" ht="15.75" customHeight="1">
      <c r="A717" s="39"/>
      <c r="B717" s="40"/>
      <c r="H717" s="38"/>
      <c r="K717" s="38"/>
    </row>
    <row r="718" spans="1:11" ht="15.75" customHeight="1">
      <c r="A718" s="39"/>
      <c r="B718" s="40"/>
      <c r="H718" s="38"/>
      <c r="K718" s="38"/>
    </row>
    <row r="719" spans="1:11" ht="15.75" customHeight="1">
      <c r="A719" s="39"/>
      <c r="B719" s="40"/>
      <c r="H719" s="38"/>
      <c r="K719" s="38"/>
    </row>
    <row r="720" spans="1:11" ht="15.75" customHeight="1">
      <c r="A720" s="39"/>
      <c r="B720" s="40"/>
      <c r="H720" s="38"/>
      <c r="K720" s="38"/>
    </row>
    <row r="721" spans="1:11" ht="15.75" customHeight="1">
      <c r="A721" s="39"/>
      <c r="B721" s="40"/>
      <c r="H721" s="38"/>
      <c r="K721" s="38"/>
    </row>
    <row r="722" spans="1:11" ht="15.75" customHeight="1">
      <c r="A722" s="39"/>
      <c r="B722" s="40"/>
      <c r="H722" s="38"/>
      <c r="K722" s="38"/>
    </row>
    <row r="723" spans="1:11" ht="15.75" customHeight="1">
      <c r="A723" s="39"/>
      <c r="B723" s="40"/>
      <c r="H723" s="38"/>
      <c r="K723" s="38"/>
    </row>
    <row r="724" spans="1:11" ht="15.75" customHeight="1">
      <c r="A724" s="39"/>
      <c r="B724" s="40"/>
      <c r="H724" s="38"/>
      <c r="K724" s="38"/>
    </row>
    <row r="725" spans="1:11" ht="15.75" customHeight="1">
      <c r="A725" s="39"/>
      <c r="B725" s="40"/>
      <c r="H725" s="38"/>
      <c r="K725" s="38"/>
    </row>
    <row r="726" spans="1:11" ht="15.75" customHeight="1">
      <c r="A726" s="39"/>
      <c r="B726" s="40"/>
      <c r="H726" s="38"/>
      <c r="K726" s="38"/>
    </row>
    <row r="727" spans="1:11" ht="15.75" customHeight="1">
      <c r="A727" s="39"/>
      <c r="B727" s="40"/>
      <c r="H727" s="38"/>
      <c r="K727" s="38"/>
    </row>
    <row r="728" spans="1:11" ht="15.75" customHeight="1">
      <c r="A728" s="39"/>
      <c r="B728" s="40"/>
      <c r="H728" s="38"/>
      <c r="K728" s="38"/>
    </row>
    <row r="729" spans="1:11" ht="15.75" customHeight="1">
      <c r="A729" s="39"/>
      <c r="B729" s="40"/>
      <c r="H729" s="38"/>
      <c r="K729" s="38"/>
    </row>
    <row r="730" spans="1:11" ht="15.75" customHeight="1">
      <c r="A730" s="39"/>
      <c r="B730" s="40"/>
      <c r="H730" s="38"/>
      <c r="K730" s="38"/>
    </row>
    <row r="731" spans="1:11" ht="15.75" customHeight="1">
      <c r="A731" s="39"/>
      <c r="B731" s="40"/>
      <c r="H731" s="38"/>
      <c r="K731" s="38"/>
    </row>
    <row r="732" spans="1:11" ht="15.75" customHeight="1">
      <c r="A732" s="39"/>
      <c r="B732" s="40"/>
      <c r="H732" s="38"/>
      <c r="K732" s="38"/>
    </row>
    <row r="733" spans="1:11" ht="15.75" customHeight="1">
      <c r="A733" s="39"/>
      <c r="B733" s="40"/>
      <c r="H733" s="38"/>
      <c r="K733" s="38"/>
    </row>
    <row r="734" spans="1:11" ht="15.75" customHeight="1">
      <c r="A734" s="39"/>
      <c r="B734" s="40"/>
      <c r="H734" s="38"/>
      <c r="K734" s="38"/>
    </row>
    <row r="735" spans="1:11" ht="15.75" customHeight="1">
      <c r="A735" s="39"/>
      <c r="B735" s="40"/>
      <c r="H735" s="38"/>
      <c r="K735" s="38"/>
    </row>
    <row r="736" spans="1:11" ht="15.75" customHeight="1">
      <c r="A736" s="39"/>
      <c r="B736" s="40"/>
      <c r="H736" s="38"/>
      <c r="K736" s="38"/>
    </row>
    <row r="737" spans="1:11" ht="15.75" customHeight="1">
      <c r="A737" s="39"/>
      <c r="B737" s="40"/>
      <c r="H737" s="38"/>
      <c r="K737" s="38"/>
    </row>
    <row r="738" spans="1:11" ht="15.75" customHeight="1">
      <c r="A738" s="39"/>
      <c r="B738" s="40"/>
      <c r="H738" s="38"/>
      <c r="K738" s="38"/>
    </row>
    <row r="739" spans="1:11" ht="15.75" customHeight="1">
      <c r="A739" s="39"/>
      <c r="B739" s="40"/>
      <c r="H739" s="38"/>
      <c r="K739" s="38"/>
    </row>
    <row r="740" spans="1:11" ht="15.75" customHeight="1">
      <c r="A740" s="39"/>
      <c r="B740" s="40"/>
      <c r="H740" s="38"/>
      <c r="K740" s="38"/>
    </row>
    <row r="741" spans="1:11" ht="15.75" customHeight="1">
      <c r="A741" s="39"/>
      <c r="B741" s="40"/>
      <c r="H741" s="38"/>
      <c r="K741" s="38"/>
    </row>
    <row r="742" spans="1:11" ht="15.75" customHeight="1">
      <c r="A742" s="39"/>
      <c r="B742" s="40"/>
      <c r="H742" s="38"/>
      <c r="K742" s="38"/>
    </row>
    <row r="743" spans="1:11" ht="15.75" customHeight="1">
      <c r="A743" s="39"/>
      <c r="B743" s="40"/>
      <c r="H743" s="38"/>
      <c r="K743" s="38"/>
    </row>
    <row r="744" spans="1:11" ht="15.75" customHeight="1">
      <c r="A744" s="39"/>
      <c r="B744" s="40"/>
      <c r="H744" s="38"/>
      <c r="K744" s="38"/>
    </row>
    <row r="745" spans="1:11" ht="15.75" customHeight="1">
      <c r="A745" s="39"/>
      <c r="B745" s="40"/>
      <c r="H745" s="38"/>
      <c r="K745" s="38"/>
    </row>
    <row r="746" spans="1:11" ht="15.75" customHeight="1">
      <c r="A746" s="39"/>
      <c r="B746" s="40"/>
      <c r="H746" s="38"/>
      <c r="K746" s="38"/>
    </row>
    <row r="747" spans="1:11" ht="15.75" customHeight="1">
      <c r="A747" s="39"/>
      <c r="B747" s="40"/>
      <c r="H747" s="38"/>
      <c r="K747" s="38"/>
    </row>
    <row r="748" spans="1:11" ht="15.75" customHeight="1">
      <c r="A748" s="39"/>
      <c r="B748" s="40"/>
      <c r="H748" s="38"/>
      <c r="K748" s="38"/>
    </row>
    <row r="749" spans="1:11" ht="15.75" customHeight="1">
      <c r="A749" s="39"/>
      <c r="B749" s="40"/>
      <c r="H749" s="38"/>
      <c r="K749" s="38"/>
    </row>
    <row r="750" spans="1:11" ht="15.75" customHeight="1">
      <c r="A750" s="39"/>
      <c r="B750" s="40"/>
      <c r="H750" s="38"/>
      <c r="K750" s="38"/>
    </row>
    <row r="751" spans="1:11" ht="15.75" customHeight="1">
      <c r="A751" s="39"/>
      <c r="B751" s="40"/>
      <c r="H751" s="38"/>
      <c r="K751" s="38"/>
    </row>
    <row r="752" spans="1:11" ht="15.75" customHeight="1">
      <c r="A752" s="39"/>
      <c r="B752" s="40"/>
      <c r="H752" s="38"/>
      <c r="K752" s="38"/>
    </row>
    <row r="753" spans="1:11" ht="15.75" customHeight="1">
      <c r="A753" s="39"/>
      <c r="B753" s="40"/>
      <c r="H753" s="38"/>
      <c r="K753" s="38"/>
    </row>
    <row r="754" spans="1:11" ht="15.75" customHeight="1">
      <c r="A754" s="39"/>
      <c r="B754" s="40"/>
      <c r="H754" s="38"/>
      <c r="K754" s="38"/>
    </row>
    <row r="755" spans="1:11" ht="15.75" customHeight="1">
      <c r="A755" s="39"/>
      <c r="B755" s="40"/>
      <c r="H755" s="38"/>
      <c r="K755" s="38"/>
    </row>
    <row r="756" spans="1:11" ht="15.75" customHeight="1">
      <c r="A756" s="39"/>
      <c r="B756" s="40"/>
      <c r="H756" s="38"/>
      <c r="K756" s="38"/>
    </row>
    <row r="757" spans="1:11" ht="15.75" customHeight="1">
      <c r="A757" s="39"/>
      <c r="B757" s="40"/>
      <c r="H757" s="38"/>
      <c r="K757" s="38"/>
    </row>
    <row r="758" spans="1:11" ht="15.75" customHeight="1">
      <c r="A758" s="39"/>
      <c r="B758" s="40"/>
      <c r="H758" s="38"/>
      <c r="K758" s="38"/>
    </row>
    <row r="759" spans="1:11" ht="15.75" customHeight="1">
      <c r="A759" s="39"/>
      <c r="B759" s="40"/>
      <c r="H759" s="38"/>
      <c r="K759" s="38"/>
    </row>
    <row r="760" spans="1:11" ht="15.75" customHeight="1">
      <c r="A760" s="39"/>
      <c r="B760" s="40"/>
      <c r="H760" s="38"/>
      <c r="K760" s="38"/>
    </row>
    <row r="761" spans="1:11" ht="15.75" customHeight="1">
      <c r="A761" s="39"/>
      <c r="B761" s="40"/>
      <c r="H761" s="38"/>
      <c r="K761" s="38"/>
    </row>
    <row r="762" spans="1:11" ht="15.75" customHeight="1">
      <c r="A762" s="39"/>
      <c r="B762" s="40"/>
      <c r="H762" s="38"/>
      <c r="K762" s="38"/>
    </row>
    <row r="763" spans="1:11" ht="15.75" customHeight="1">
      <c r="A763" s="39"/>
      <c r="B763" s="40"/>
      <c r="H763" s="38"/>
      <c r="K763" s="38"/>
    </row>
    <row r="764" spans="1:11" ht="15.75" customHeight="1">
      <c r="A764" s="39"/>
      <c r="B764" s="40"/>
      <c r="H764" s="38"/>
      <c r="K764" s="38"/>
    </row>
    <row r="765" spans="1:11" ht="15.75" customHeight="1">
      <c r="A765" s="39"/>
      <c r="B765" s="40"/>
      <c r="H765" s="38"/>
      <c r="K765" s="38"/>
    </row>
    <row r="766" spans="1:11" ht="15.75" customHeight="1">
      <c r="A766" s="39"/>
      <c r="B766" s="40"/>
      <c r="H766" s="38"/>
      <c r="K766" s="38"/>
    </row>
    <row r="767" spans="1:11" ht="15.75" customHeight="1">
      <c r="A767" s="39"/>
      <c r="B767" s="40"/>
      <c r="H767" s="38"/>
      <c r="K767" s="38"/>
    </row>
    <row r="768" spans="1:11" ht="15.75" customHeight="1">
      <c r="A768" s="39"/>
      <c r="B768" s="40"/>
      <c r="H768" s="38"/>
      <c r="K768" s="38"/>
    </row>
    <row r="769" spans="1:11" ht="15.75" customHeight="1">
      <c r="A769" s="39"/>
      <c r="B769" s="40"/>
      <c r="H769" s="38"/>
      <c r="K769" s="38"/>
    </row>
    <row r="770" spans="1:11" ht="15.75" customHeight="1">
      <c r="A770" s="39"/>
      <c r="B770" s="40"/>
      <c r="H770" s="38"/>
      <c r="K770" s="38"/>
    </row>
    <row r="771" spans="1:11" ht="15.75" customHeight="1">
      <c r="A771" s="39"/>
      <c r="B771" s="40"/>
      <c r="H771" s="38"/>
      <c r="K771" s="38"/>
    </row>
    <row r="772" spans="1:11" ht="15.75" customHeight="1">
      <c r="A772" s="39"/>
      <c r="B772" s="40"/>
      <c r="H772" s="38"/>
      <c r="K772" s="38"/>
    </row>
    <row r="773" spans="1:11" ht="15.75" customHeight="1">
      <c r="A773" s="39"/>
      <c r="B773" s="40"/>
      <c r="H773" s="38"/>
      <c r="K773" s="38"/>
    </row>
    <row r="774" spans="1:11" ht="15.75" customHeight="1">
      <c r="A774" s="39"/>
      <c r="B774" s="40"/>
      <c r="H774" s="38"/>
      <c r="K774" s="38"/>
    </row>
    <row r="775" spans="1:11" ht="15.75" customHeight="1">
      <c r="A775" s="39"/>
      <c r="B775" s="40"/>
      <c r="H775" s="38"/>
      <c r="K775" s="38"/>
    </row>
    <row r="776" spans="1:11" ht="15.75" customHeight="1">
      <c r="A776" s="39"/>
      <c r="B776" s="40"/>
      <c r="H776" s="38"/>
      <c r="K776" s="38"/>
    </row>
    <row r="777" spans="1:11" ht="15.75" customHeight="1">
      <c r="A777" s="39"/>
      <c r="B777" s="40"/>
      <c r="H777" s="38"/>
      <c r="K777" s="38"/>
    </row>
    <row r="778" spans="1:11" ht="15.75" customHeight="1">
      <c r="A778" s="39"/>
      <c r="B778" s="40"/>
      <c r="H778" s="38"/>
      <c r="K778" s="38"/>
    </row>
    <row r="779" spans="1:11" ht="15.75" customHeight="1">
      <c r="A779" s="39"/>
      <c r="B779" s="40"/>
      <c r="H779" s="38"/>
      <c r="K779" s="38"/>
    </row>
    <row r="780" spans="1:11" ht="15.75" customHeight="1">
      <c r="A780" s="39"/>
      <c r="B780" s="40"/>
      <c r="H780" s="38"/>
      <c r="K780" s="38"/>
    </row>
    <row r="781" spans="1:11" ht="15.75" customHeight="1">
      <c r="A781" s="39"/>
      <c r="B781" s="40"/>
      <c r="H781" s="38"/>
      <c r="K781" s="38"/>
    </row>
    <row r="782" spans="1:11" ht="15.75" customHeight="1">
      <c r="A782" s="39"/>
      <c r="B782" s="40"/>
      <c r="H782" s="38"/>
      <c r="K782" s="38"/>
    </row>
    <row r="783" spans="1:11" ht="15.75" customHeight="1">
      <c r="A783" s="39"/>
      <c r="B783" s="40"/>
      <c r="H783" s="38"/>
      <c r="K783" s="38"/>
    </row>
    <row r="784" spans="1:11" ht="15.75" customHeight="1">
      <c r="A784" s="39"/>
      <c r="B784" s="40"/>
      <c r="H784" s="38"/>
      <c r="K784" s="38"/>
    </row>
    <row r="785" spans="1:11" ht="15.75" customHeight="1">
      <c r="A785" s="39"/>
      <c r="B785" s="40"/>
      <c r="H785" s="38"/>
      <c r="K785" s="38"/>
    </row>
    <row r="786" spans="1:11" ht="15.75" customHeight="1">
      <c r="A786" s="39"/>
      <c r="B786" s="40"/>
      <c r="H786" s="38"/>
      <c r="K786" s="38"/>
    </row>
    <row r="787" spans="1:11" ht="15.75" customHeight="1">
      <c r="A787" s="39"/>
      <c r="B787" s="40"/>
      <c r="H787" s="38"/>
      <c r="K787" s="38"/>
    </row>
    <row r="788" spans="1:11" ht="15.75" customHeight="1">
      <c r="A788" s="39"/>
      <c r="B788" s="40"/>
      <c r="H788" s="38"/>
      <c r="K788" s="38"/>
    </row>
    <row r="789" spans="1:11" ht="15.75" customHeight="1">
      <c r="A789" s="39"/>
      <c r="B789" s="40"/>
      <c r="H789" s="38"/>
      <c r="K789" s="38"/>
    </row>
    <row r="790" spans="1:11" ht="15.75" customHeight="1">
      <c r="A790" s="39"/>
      <c r="B790" s="40"/>
      <c r="H790" s="38"/>
      <c r="K790" s="38"/>
    </row>
    <row r="791" spans="1:11" ht="15.75" customHeight="1">
      <c r="A791" s="39"/>
      <c r="B791" s="40"/>
      <c r="H791" s="38"/>
      <c r="K791" s="38"/>
    </row>
    <row r="792" spans="1:11" ht="15.75" customHeight="1">
      <c r="A792" s="39"/>
      <c r="B792" s="40"/>
      <c r="H792" s="38"/>
      <c r="K792" s="38"/>
    </row>
    <row r="793" spans="1:11" ht="15.75" customHeight="1">
      <c r="A793" s="39"/>
      <c r="B793" s="40"/>
      <c r="H793" s="38"/>
      <c r="K793" s="38"/>
    </row>
    <row r="794" spans="1:11" ht="15.75" customHeight="1">
      <c r="A794" s="39"/>
      <c r="B794" s="40"/>
      <c r="H794" s="38"/>
      <c r="K794" s="38"/>
    </row>
    <row r="795" spans="1:11" ht="15.75" customHeight="1">
      <c r="A795" s="39"/>
      <c r="B795" s="40"/>
      <c r="H795" s="38"/>
      <c r="K795" s="38"/>
    </row>
    <row r="796" spans="1:11" ht="15.75" customHeight="1">
      <c r="A796" s="39"/>
      <c r="B796" s="40"/>
      <c r="H796" s="38"/>
      <c r="K796" s="38"/>
    </row>
    <row r="797" spans="1:11" ht="15.75" customHeight="1">
      <c r="A797" s="39"/>
      <c r="B797" s="40"/>
      <c r="H797" s="38"/>
      <c r="K797" s="38"/>
    </row>
    <row r="798" spans="1:11" ht="15.75" customHeight="1">
      <c r="A798" s="39"/>
      <c r="B798" s="40"/>
      <c r="H798" s="38"/>
      <c r="K798" s="38"/>
    </row>
    <row r="799" spans="1:11" ht="15.75" customHeight="1">
      <c r="A799" s="39"/>
      <c r="B799" s="40"/>
      <c r="H799" s="38"/>
      <c r="K799" s="38"/>
    </row>
    <row r="800" spans="1:11" ht="15.75" customHeight="1">
      <c r="A800" s="39"/>
      <c r="B800" s="40"/>
      <c r="H800" s="38"/>
      <c r="K800" s="38"/>
    </row>
    <row r="801" spans="1:11" ht="15.75" customHeight="1">
      <c r="A801" s="39"/>
      <c r="B801" s="40"/>
      <c r="H801" s="38"/>
      <c r="K801" s="38"/>
    </row>
    <row r="802" spans="1:11" ht="15.75" customHeight="1">
      <c r="A802" s="39"/>
      <c r="B802" s="40"/>
      <c r="H802" s="38"/>
      <c r="K802" s="38"/>
    </row>
    <row r="803" spans="1:11" ht="15.75" customHeight="1">
      <c r="A803" s="39"/>
      <c r="B803" s="40"/>
      <c r="H803" s="38"/>
      <c r="K803" s="38"/>
    </row>
    <row r="804" spans="1:11" ht="15.75" customHeight="1">
      <c r="A804" s="39"/>
      <c r="B804" s="40"/>
      <c r="H804" s="38"/>
      <c r="K804" s="38"/>
    </row>
    <row r="805" spans="1:11" ht="15.75" customHeight="1">
      <c r="A805" s="39"/>
      <c r="B805" s="40"/>
      <c r="H805" s="38"/>
      <c r="K805" s="38"/>
    </row>
    <row r="806" spans="1:11" ht="15.75" customHeight="1">
      <c r="A806" s="39"/>
      <c r="B806" s="40"/>
      <c r="H806" s="38"/>
      <c r="K806" s="38"/>
    </row>
    <row r="807" spans="1:11" ht="15.75" customHeight="1">
      <c r="A807" s="39"/>
      <c r="B807" s="40"/>
      <c r="H807" s="38"/>
      <c r="K807" s="38"/>
    </row>
    <row r="808" spans="1:11" ht="15.75" customHeight="1">
      <c r="A808" s="39"/>
      <c r="B808" s="40"/>
      <c r="H808" s="38"/>
      <c r="K808" s="38"/>
    </row>
    <row r="809" spans="1:11" ht="15.75" customHeight="1">
      <c r="A809" s="39"/>
      <c r="B809" s="40"/>
      <c r="H809" s="38"/>
      <c r="K809" s="38"/>
    </row>
    <row r="810" spans="1:11" ht="15.75" customHeight="1">
      <c r="A810" s="39"/>
      <c r="B810" s="40"/>
      <c r="H810" s="38"/>
      <c r="K810" s="38"/>
    </row>
    <row r="811" spans="1:11" ht="15.75" customHeight="1">
      <c r="A811" s="39"/>
      <c r="B811" s="40"/>
      <c r="H811" s="38"/>
      <c r="K811" s="38"/>
    </row>
    <row r="812" spans="1:11" ht="15.75" customHeight="1">
      <c r="A812" s="39"/>
      <c r="B812" s="40"/>
      <c r="H812" s="38"/>
      <c r="K812" s="38"/>
    </row>
    <row r="813" spans="1:11" ht="15.75" customHeight="1">
      <c r="A813" s="39"/>
      <c r="B813" s="40"/>
      <c r="H813" s="38"/>
      <c r="K813" s="38"/>
    </row>
    <row r="814" spans="1:11" ht="15.75" customHeight="1">
      <c r="A814" s="39"/>
      <c r="B814" s="40"/>
      <c r="H814" s="38"/>
      <c r="K814" s="38"/>
    </row>
    <row r="815" spans="1:11" ht="15.75" customHeight="1">
      <c r="A815" s="39"/>
      <c r="B815" s="40"/>
      <c r="H815" s="38"/>
      <c r="K815" s="38"/>
    </row>
    <row r="816" spans="1:11" ht="15.75" customHeight="1">
      <c r="A816" s="39"/>
      <c r="B816" s="40"/>
      <c r="H816" s="38"/>
      <c r="K816" s="38"/>
    </row>
    <row r="817" spans="1:11" ht="15.75" customHeight="1">
      <c r="A817" s="39"/>
      <c r="B817" s="40"/>
      <c r="H817" s="38"/>
      <c r="K817" s="38"/>
    </row>
    <row r="818" spans="1:11" ht="15.75" customHeight="1">
      <c r="A818" s="39"/>
      <c r="B818" s="40"/>
      <c r="H818" s="38"/>
      <c r="K818" s="38"/>
    </row>
    <row r="819" spans="1:11" ht="15.75" customHeight="1">
      <c r="A819" s="39"/>
      <c r="B819" s="40"/>
      <c r="H819" s="38"/>
      <c r="K819" s="38"/>
    </row>
    <row r="820" spans="1:11" ht="15.75" customHeight="1">
      <c r="A820" s="39"/>
      <c r="B820" s="40"/>
      <c r="H820" s="38"/>
      <c r="K820" s="38"/>
    </row>
    <row r="821" spans="1:11" ht="15.75" customHeight="1">
      <c r="A821" s="39"/>
      <c r="B821" s="40"/>
      <c r="H821" s="38"/>
      <c r="K821" s="38"/>
    </row>
    <row r="822" spans="1:11" ht="15.75" customHeight="1">
      <c r="A822" s="39"/>
      <c r="B822" s="40"/>
      <c r="H822" s="38"/>
      <c r="K822" s="38"/>
    </row>
    <row r="823" spans="1:11" ht="15.75" customHeight="1">
      <c r="A823" s="39"/>
      <c r="B823" s="40"/>
      <c r="H823" s="38"/>
      <c r="K823" s="38"/>
    </row>
    <row r="824" spans="1:11" ht="15.75" customHeight="1">
      <c r="A824" s="39"/>
      <c r="B824" s="40"/>
      <c r="H824" s="38"/>
      <c r="K824" s="38"/>
    </row>
    <row r="825" spans="1:11" ht="15.75" customHeight="1">
      <c r="A825" s="39"/>
      <c r="B825" s="40"/>
      <c r="H825" s="38"/>
      <c r="K825" s="38"/>
    </row>
    <row r="826" spans="1:11" ht="15.75" customHeight="1">
      <c r="A826" s="39"/>
      <c r="B826" s="40"/>
      <c r="H826" s="38"/>
      <c r="K826" s="38"/>
    </row>
    <row r="827" spans="1:11" ht="15.75" customHeight="1">
      <c r="A827" s="39"/>
      <c r="B827" s="40"/>
      <c r="H827" s="38"/>
      <c r="K827" s="38"/>
    </row>
    <row r="828" spans="1:11" ht="15.75" customHeight="1">
      <c r="A828" s="39"/>
      <c r="B828" s="40"/>
      <c r="H828" s="38"/>
      <c r="K828" s="38"/>
    </row>
    <row r="829" spans="1:11" ht="15.75" customHeight="1">
      <c r="A829" s="39"/>
      <c r="B829" s="40"/>
      <c r="H829" s="38"/>
      <c r="K829" s="38"/>
    </row>
    <row r="830" spans="1:11" ht="15.75" customHeight="1">
      <c r="A830" s="39"/>
      <c r="B830" s="40"/>
      <c r="H830" s="38"/>
      <c r="K830" s="38"/>
    </row>
    <row r="831" spans="1:11" ht="15.75" customHeight="1">
      <c r="A831" s="39"/>
      <c r="B831" s="40"/>
      <c r="H831" s="38"/>
      <c r="K831" s="38"/>
    </row>
    <row r="832" spans="1:11" ht="15.75" customHeight="1">
      <c r="A832" s="39"/>
      <c r="B832" s="40"/>
      <c r="H832" s="38"/>
      <c r="K832" s="38"/>
    </row>
    <row r="833" spans="1:11" ht="15.75" customHeight="1">
      <c r="A833" s="39"/>
      <c r="B833" s="40"/>
      <c r="H833" s="38"/>
      <c r="K833" s="38"/>
    </row>
    <row r="834" spans="1:11" ht="15.75" customHeight="1">
      <c r="A834" s="39"/>
      <c r="B834" s="40"/>
      <c r="H834" s="38"/>
      <c r="K834" s="38"/>
    </row>
    <row r="835" spans="1:11" ht="15.75" customHeight="1">
      <c r="A835" s="39"/>
      <c r="B835" s="40"/>
      <c r="H835" s="38"/>
      <c r="K835" s="38"/>
    </row>
    <row r="836" spans="1:11" ht="15.75" customHeight="1">
      <c r="A836" s="39"/>
      <c r="B836" s="40"/>
      <c r="H836" s="38"/>
      <c r="K836" s="38"/>
    </row>
    <row r="837" spans="1:11" ht="15.75" customHeight="1">
      <c r="A837" s="39"/>
      <c r="B837" s="40"/>
      <c r="H837" s="38"/>
      <c r="K837" s="38"/>
    </row>
    <row r="838" spans="1:11" ht="15.75" customHeight="1">
      <c r="A838" s="39"/>
      <c r="B838" s="40"/>
      <c r="H838" s="38"/>
      <c r="K838" s="38"/>
    </row>
    <row r="839" spans="1:11" ht="15.75" customHeight="1">
      <c r="A839" s="39"/>
      <c r="B839" s="40"/>
      <c r="H839" s="38"/>
      <c r="K839" s="38"/>
    </row>
    <row r="840" spans="1:11" ht="15.75" customHeight="1">
      <c r="A840" s="39"/>
      <c r="B840" s="40"/>
      <c r="H840" s="38"/>
      <c r="K840" s="38"/>
    </row>
    <row r="841" spans="1:11" ht="15.75" customHeight="1">
      <c r="A841" s="39"/>
      <c r="B841" s="40"/>
      <c r="H841" s="38"/>
      <c r="K841" s="38"/>
    </row>
    <row r="842" spans="1:11" ht="15.75" customHeight="1">
      <c r="A842" s="39"/>
      <c r="B842" s="40"/>
      <c r="H842" s="38"/>
      <c r="K842" s="38"/>
    </row>
    <row r="843" spans="1:11" ht="15.75" customHeight="1">
      <c r="A843" s="39"/>
      <c r="B843" s="40"/>
      <c r="H843" s="38"/>
      <c r="K843" s="38"/>
    </row>
    <row r="844" spans="1:11" ht="15.75" customHeight="1">
      <c r="A844" s="39"/>
      <c r="B844" s="40"/>
      <c r="H844" s="38"/>
      <c r="K844" s="38"/>
    </row>
    <row r="845" spans="1:11" ht="15.75" customHeight="1">
      <c r="A845" s="39"/>
      <c r="B845" s="40"/>
      <c r="H845" s="38"/>
      <c r="K845" s="38"/>
    </row>
    <row r="846" spans="1:11" ht="15.75" customHeight="1">
      <c r="A846" s="39"/>
      <c r="B846" s="40"/>
      <c r="H846" s="38"/>
      <c r="K846" s="38"/>
    </row>
    <row r="847" spans="1:11" ht="15.75" customHeight="1">
      <c r="A847" s="39"/>
      <c r="B847" s="40"/>
      <c r="H847" s="38"/>
      <c r="K847" s="38"/>
    </row>
    <row r="848" spans="1:11" ht="15.75" customHeight="1">
      <c r="A848" s="39"/>
      <c r="B848" s="40"/>
      <c r="H848" s="38"/>
      <c r="K848" s="38"/>
    </row>
    <row r="849" spans="1:11" ht="15.75" customHeight="1">
      <c r="A849" s="39"/>
      <c r="B849" s="40"/>
      <c r="H849" s="38"/>
      <c r="K849" s="38"/>
    </row>
    <row r="850" spans="1:11" ht="15.75" customHeight="1">
      <c r="A850" s="39"/>
      <c r="B850" s="40"/>
      <c r="H850" s="38"/>
      <c r="K850" s="38"/>
    </row>
    <row r="851" spans="1:11" ht="15.75" customHeight="1">
      <c r="A851" s="39"/>
      <c r="B851" s="40"/>
      <c r="H851" s="38"/>
      <c r="K851" s="38"/>
    </row>
    <row r="852" spans="1:11" ht="15.75" customHeight="1">
      <c r="A852" s="39"/>
      <c r="B852" s="40"/>
      <c r="H852" s="38"/>
      <c r="K852" s="38"/>
    </row>
    <row r="853" spans="1:11" ht="15.75" customHeight="1">
      <c r="A853" s="39"/>
      <c r="B853" s="40"/>
      <c r="H853" s="38"/>
      <c r="K853" s="38"/>
    </row>
    <row r="854" spans="1:11" ht="15.75" customHeight="1">
      <c r="A854" s="39"/>
      <c r="B854" s="40"/>
      <c r="H854" s="38"/>
      <c r="K854" s="38"/>
    </row>
    <row r="855" spans="1:11" ht="15.75" customHeight="1">
      <c r="A855" s="39"/>
      <c r="B855" s="40"/>
      <c r="H855" s="38"/>
      <c r="K855" s="38"/>
    </row>
    <row r="856" spans="1:11" ht="15.75" customHeight="1">
      <c r="A856" s="39"/>
      <c r="B856" s="40"/>
      <c r="H856" s="38"/>
      <c r="K856" s="38"/>
    </row>
    <row r="857" spans="1:11" ht="15.75" customHeight="1">
      <c r="A857" s="39"/>
      <c r="B857" s="40"/>
      <c r="H857" s="38"/>
      <c r="K857" s="38"/>
    </row>
    <row r="858" spans="1:11" ht="15.75" customHeight="1">
      <c r="A858" s="39"/>
      <c r="B858" s="40"/>
      <c r="H858" s="38"/>
      <c r="K858" s="38"/>
    </row>
    <row r="859" spans="1:11" ht="15.75" customHeight="1">
      <c r="A859" s="39"/>
      <c r="B859" s="40"/>
      <c r="H859" s="38"/>
      <c r="K859" s="38"/>
    </row>
    <row r="860" spans="1:11" ht="15.75" customHeight="1">
      <c r="A860" s="39"/>
      <c r="B860" s="40"/>
      <c r="H860" s="38"/>
      <c r="K860" s="38"/>
    </row>
    <row r="861" spans="1:11" ht="15.75" customHeight="1">
      <c r="A861" s="39"/>
      <c r="B861" s="40"/>
      <c r="H861" s="38"/>
      <c r="K861" s="38"/>
    </row>
    <row r="862" spans="1:11" ht="15.75" customHeight="1">
      <c r="A862" s="39"/>
      <c r="B862" s="40"/>
      <c r="H862" s="38"/>
      <c r="K862" s="38"/>
    </row>
    <row r="863" spans="1:11" ht="15.75" customHeight="1">
      <c r="A863" s="39"/>
      <c r="B863" s="40"/>
      <c r="H863" s="38"/>
      <c r="K863" s="38"/>
    </row>
    <row r="864" spans="1:11" ht="15.75" customHeight="1">
      <c r="A864" s="39"/>
      <c r="B864" s="40"/>
      <c r="H864" s="38"/>
      <c r="K864" s="38"/>
    </row>
    <row r="865" spans="1:11" ht="15.75" customHeight="1">
      <c r="A865" s="39"/>
      <c r="B865" s="40"/>
      <c r="H865" s="38"/>
      <c r="K865" s="38"/>
    </row>
    <row r="866" spans="1:11" ht="15.75" customHeight="1">
      <c r="A866" s="39"/>
      <c r="B866" s="40"/>
      <c r="H866" s="38"/>
      <c r="K866" s="38"/>
    </row>
    <row r="867" spans="1:11" ht="15.75" customHeight="1">
      <c r="A867" s="39"/>
      <c r="B867" s="40"/>
      <c r="H867" s="38"/>
      <c r="K867" s="38"/>
    </row>
    <row r="868" spans="1:11" ht="15.75" customHeight="1">
      <c r="A868" s="39"/>
      <c r="B868" s="40"/>
      <c r="H868" s="38"/>
      <c r="K868" s="38"/>
    </row>
    <row r="869" spans="1:11" ht="15.75" customHeight="1">
      <c r="A869" s="39"/>
      <c r="B869" s="40"/>
      <c r="H869" s="38"/>
      <c r="K869" s="38"/>
    </row>
    <row r="870" spans="1:11" ht="15.75" customHeight="1">
      <c r="A870" s="39"/>
      <c r="B870" s="40"/>
      <c r="H870" s="38"/>
      <c r="K870" s="38"/>
    </row>
    <row r="871" spans="1:11" ht="15.75" customHeight="1">
      <c r="A871" s="39"/>
      <c r="B871" s="40"/>
      <c r="H871" s="38"/>
      <c r="K871" s="38"/>
    </row>
    <row r="872" spans="1:11" ht="15.75" customHeight="1">
      <c r="A872" s="39"/>
      <c r="B872" s="40"/>
      <c r="H872" s="38"/>
      <c r="K872" s="38"/>
    </row>
    <row r="873" spans="1:11" ht="15.75" customHeight="1">
      <c r="A873" s="39"/>
      <c r="B873" s="40"/>
      <c r="H873" s="38"/>
      <c r="K873" s="38"/>
    </row>
    <row r="874" spans="1:11" ht="15.75" customHeight="1">
      <c r="A874" s="39"/>
      <c r="B874" s="40"/>
      <c r="H874" s="38"/>
      <c r="K874" s="38"/>
    </row>
    <row r="875" spans="1:11" ht="15.75" customHeight="1">
      <c r="A875" s="39"/>
      <c r="B875" s="40"/>
      <c r="H875" s="38"/>
      <c r="K875" s="38"/>
    </row>
    <row r="876" spans="1:11" ht="15.75" customHeight="1">
      <c r="A876" s="39"/>
      <c r="B876" s="40"/>
      <c r="H876" s="38"/>
      <c r="K876" s="38"/>
    </row>
    <row r="877" spans="1:11" ht="15.75" customHeight="1">
      <c r="A877" s="39"/>
      <c r="B877" s="40"/>
      <c r="H877" s="38"/>
      <c r="K877" s="38"/>
    </row>
    <row r="878" spans="1:11" ht="15.75" customHeight="1">
      <c r="A878" s="39"/>
      <c r="B878" s="40"/>
      <c r="H878" s="38"/>
      <c r="K878" s="38"/>
    </row>
    <row r="879" spans="1:11" ht="15.75" customHeight="1">
      <c r="A879" s="39"/>
      <c r="B879" s="40"/>
      <c r="H879" s="38"/>
      <c r="K879" s="38"/>
    </row>
    <row r="880" spans="1:11" ht="15.75" customHeight="1">
      <c r="A880" s="39"/>
      <c r="B880" s="40"/>
      <c r="H880" s="38"/>
      <c r="K880" s="38"/>
    </row>
    <row r="881" spans="1:11" ht="15.75" customHeight="1">
      <c r="A881" s="39"/>
      <c r="B881" s="40"/>
      <c r="H881" s="38"/>
      <c r="K881" s="38"/>
    </row>
    <row r="882" spans="1:11" ht="15.75" customHeight="1">
      <c r="A882" s="39"/>
      <c r="B882" s="40"/>
      <c r="H882" s="38"/>
      <c r="K882" s="38"/>
    </row>
    <row r="883" spans="1:11" ht="15.75" customHeight="1">
      <c r="A883" s="39"/>
      <c r="B883" s="40"/>
      <c r="H883" s="38"/>
      <c r="K883" s="38"/>
    </row>
    <row r="884" spans="1:11" ht="15.75" customHeight="1">
      <c r="A884" s="39"/>
      <c r="B884" s="40"/>
      <c r="H884" s="38"/>
      <c r="K884" s="38"/>
    </row>
    <row r="885" spans="1:11" ht="15.75" customHeight="1">
      <c r="A885" s="39"/>
      <c r="B885" s="40"/>
      <c r="H885" s="38"/>
      <c r="K885" s="38"/>
    </row>
    <row r="886" spans="1:11" ht="15.75" customHeight="1">
      <c r="A886" s="39"/>
      <c r="B886" s="40"/>
      <c r="H886" s="38"/>
      <c r="K886" s="38"/>
    </row>
    <row r="887" spans="1:11" ht="15.75" customHeight="1">
      <c r="A887" s="39"/>
      <c r="B887" s="40"/>
      <c r="H887" s="38"/>
      <c r="K887" s="38"/>
    </row>
    <row r="888" spans="1:11" ht="15.75" customHeight="1">
      <c r="A888" s="39"/>
      <c r="B888" s="40"/>
      <c r="H888" s="38"/>
      <c r="K888" s="38"/>
    </row>
    <row r="889" spans="1:11" ht="15.75" customHeight="1">
      <c r="A889" s="39"/>
      <c r="B889" s="40"/>
      <c r="H889" s="38"/>
      <c r="K889" s="38"/>
    </row>
    <row r="890" spans="1:11" ht="15.75" customHeight="1">
      <c r="A890" s="39"/>
      <c r="B890" s="40"/>
      <c r="H890" s="38"/>
      <c r="K890" s="38"/>
    </row>
    <row r="891" spans="1:11" ht="15.75" customHeight="1">
      <c r="A891" s="39"/>
      <c r="B891" s="40"/>
      <c r="H891" s="38"/>
      <c r="K891" s="38"/>
    </row>
    <row r="892" spans="1:11" ht="15.75" customHeight="1">
      <c r="A892" s="39"/>
      <c r="B892" s="40"/>
      <c r="H892" s="38"/>
      <c r="K892" s="38"/>
    </row>
    <row r="893" spans="1:11" ht="15.75" customHeight="1">
      <c r="A893" s="39"/>
      <c r="B893" s="40"/>
      <c r="H893" s="38"/>
      <c r="K893" s="38"/>
    </row>
    <row r="894" spans="1:11" ht="15.75" customHeight="1">
      <c r="A894" s="39"/>
      <c r="B894" s="40"/>
      <c r="H894" s="38"/>
      <c r="K894" s="38"/>
    </row>
    <row r="895" spans="1:11" ht="15.75" customHeight="1">
      <c r="A895" s="39"/>
      <c r="B895" s="40"/>
      <c r="H895" s="38"/>
      <c r="K895" s="38"/>
    </row>
    <row r="896" spans="1:11" ht="15.75" customHeight="1">
      <c r="A896" s="39"/>
      <c r="B896" s="40"/>
      <c r="H896" s="38"/>
      <c r="K896" s="38"/>
    </row>
    <row r="897" spans="1:11" ht="15.75" customHeight="1">
      <c r="A897" s="39"/>
      <c r="B897" s="40"/>
      <c r="H897" s="38"/>
      <c r="K897" s="38"/>
    </row>
    <row r="898" spans="1:11" ht="15.75" customHeight="1">
      <c r="A898" s="39"/>
      <c r="B898" s="40"/>
      <c r="H898" s="38"/>
      <c r="K898" s="38"/>
    </row>
    <row r="899" spans="1:11" ht="15.75" customHeight="1">
      <c r="A899" s="39"/>
      <c r="B899" s="40"/>
      <c r="H899" s="38"/>
      <c r="K899" s="38"/>
    </row>
    <row r="900" spans="1:11" ht="15.75" customHeight="1">
      <c r="A900" s="39"/>
      <c r="B900" s="40"/>
      <c r="H900" s="38"/>
      <c r="K900" s="38"/>
    </row>
    <row r="901" spans="1:11" ht="15.75" customHeight="1">
      <c r="A901" s="39"/>
      <c r="B901" s="40"/>
      <c r="H901" s="38"/>
      <c r="K901" s="38"/>
    </row>
    <row r="902" spans="1:11" ht="15.75" customHeight="1">
      <c r="A902" s="39"/>
      <c r="B902" s="40"/>
      <c r="H902" s="38"/>
      <c r="K902" s="38"/>
    </row>
    <row r="903" spans="1:11" ht="15.75" customHeight="1">
      <c r="A903" s="39"/>
      <c r="B903" s="40"/>
      <c r="H903" s="38"/>
      <c r="K903" s="38"/>
    </row>
    <row r="904" spans="1:11" ht="15.75" customHeight="1">
      <c r="A904" s="39"/>
      <c r="B904" s="40"/>
      <c r="H904" s="38"/>
      <c r="K904" s="38"/>
    </row>
    <row r="905" spans="1:11" ht="15.75" customHeight="1">
      <c r="A905" s="39"/>
      <c r="B905" s="40"/>
      <c r="H905" s="38"/>
      <c r="K905" s="38"/>
    </row>
    <row r="906" spans="1:11" ht="15.75" customHeight="1">
      <c r="A906" s="39"/>
      <c r="B906" s="40"/>
      <c r="H906" s="38"/>
      <c r="K906" s="38"/>
    </row>
    <row r="907" spans="1:11" ht="15.75" customHeight="1">
      <c r="A907" s="39"/>
      <c r="B907" s="40"/>
      <c r="H907" s="38"/>
      <c r="K907" s="38"/>
    </row>
    <row r="908" spans="1:11" ht="15.75" customHeight="1">
      <c r="A908" s="39"/>
      <c r="B908" s="40"/>
      <c r="H908" s="38"/>
      <c r="K908" s="38"/>
    </row>
    <row r="909" spans="1:11" ht="15.75" customHeight="1">
      <c r="A909" s="39"/>
      <c r="B909" s="40"/>
      <c r="H909" s="38"/>
      <c r="K909" s="38"/>
    </row>
    <row r="910" spans="1:11" ht="15.75" customHeight="1">
      <c r="A910" s="39"/>
      <c r="B910" s="40"/>
      <c r="H910" s="38"/>
      <c r="K910" s="38"/>
    </row>
    <row r="911" spans="1:11" ht="15.75" customHeight="1">
      <c r="A911" s="39"/>
      <c r="B911" s="40"/>
      <c r="H911" s="38"/>
      <c r="K911" s="38"/>
    </row>
    <row r="912" spans="1:11" ht="15.75" customHeight="1">
      <c r="A912" s="39"/>
      <c r="B912" s="40"/>
      <c r="H912" s="38"/>
      <c r="K912" s="38"/>
    </row>
    <row r="913" spans="1:11" ht="15.75" customHeight="1">
      <c r="A913" s="39"/>
      <c r="B913" s="40"/>
      <c r="H913" s="38"/>
      <c r="K913" s="38"/>
    </row>
    <row r="914" spans="1:11" ht="15.75" customHeight="1">
      <c r="A914" s="39"/>
      <c r="B914" s="40"/>
      <c r="H914" s="38"/>
      <c r="K914" s="38"/>
    </row>
    <row r="915" spans="1:11" ht="15.75" customHeight="1">
      <c r="A915" s="39"/>
      <c r="B915" s="40"/>
      <c r="H915" s="38"/>
      <c r="K915" s="38"/>
    </row>
    <row r="916" spans="1:11" ht="15.75" customHeight="1">
      <c r="A916" s="39"/>
      <c r="B916" s="40"/>
      <c r="H916" s="38"/>
      <c r="K916" s="38"/>
    </row>
    <row r="917" spans="1:11" ht="15.75" customHeight="1">
      <c r="A917" s="39"/>
      <c r="B917" s="40"/>
      <c r="H917" s="38"/>
      <c r="K917" s="38"/>
    </row>
    <row r="918" spans="1:11" ht="15.75" customHeight="1">
      <c r="A918" s="39"/>
      <c r="B918" s="40"/>
      <c r="H918" s="38"/>
      <c r="K918" s="38"/>
    </row>
    <row r="919" spans="1:11" ht="15.75" customHeight="1">
      <c r="A919" s="39"/>
      <c r="B919" s="40"/>
      <c r="H919" s="38"/>
      <c r="K919" s="38"/>
    </row>
    <row r="920" spans="1:11" ht="15.75" customHeight="1">
      <c r="A920" s="39"/>
      <c r="B920" s="40"/>
      <c r="H920" s="38"/>
      <c r="K920" s="38"/>
    </row>
    <row r="921" spans="1:11" ht="15.75" customHeight="1">
      <c r="A921" s="39"/>
      <c r="B921" s="40"/>
      <c r="H921" s="38"/>
      <c r="K921" s="38"/>
    </row>
    <row r="922" spans="1:11" ht="15.75" customHeight="1">
      <c r="A922" s="39"/>
      <c r="B922" s="40"/>
      <c r="H922" s="38"/>
      <c r="K922" s="38"/>
    </row>
    <row r="923" spans="1:11" ht="15.75" customHeight="1">
      <c r="A923" s="39"/>
      <c r="B923" s="40"/>
      <c r="H923" s="38"/>
      <c r="K923" s="38"/>
    </row>
    <row r="924" spans="1:11" ht="15.75" customHeight="1">
      <c r="A924" s="39"/>
      <c r="B924" s="40"/>
      <c r="H924" s="38"/>
      <c r="K924" s="38"/>
    </row>
    <row r="925" spans="1:11" ht="15.75" customHeight="1">
      <c r="A925" s="39"/>
      <c r="B925" s="40"/>
      <c r="H925" s="38"/>
      <c r="K925" s="38"/>
    </row>
    <row r="926" spans="1:11" ht="15.75" customHeight="1">
      <c r="A926" s="39"/>
      <c r="B926" s="40"/>
      <c r="H926" s="38"/>
      <c r="K926" s="38"/>
    </row>
    <row r="927" spans="1:11" ht="15.75" customHeight="1">
      <c r="A927" s="39"/>
      <c r="B927" s="40"/>
      <c r="H927" s="38"/>
      <c r="K927" s="38"/>
    </row>
    <row r="928" spans="1:11" ht="15.75" customHeight="1">
      <c r="A928" s="39"/>
      <c r="B928" s="40"/>
      <c r="H928" s="38"/>
      <c r="K928" s="38"/>
    </row>
    <row r="929" spans="1:11" ht="15.75" customHeight="1">
      <c r="A929" s="39"/>
      <c r="B929" s="40"/>
      <c r="H929" s="38"/>
      <c r="K929" s="38"/>
    </row>
    <row r="930" spans="1:11" ht="15.75" customHeight="1">
      <c r="A930" s="39"/>
      <c r="B930" s="40"/>
      <c r="H930" s="38"/>
      <c r="K930" s="38"/>
    </row>
    <row r="931" spans="1:11" ht="15.75" customHeight="1">
      <c r="A931" s="39"/>
      <c r="B931" s="40"/>
      <c r="H931" s="38"/>
      <c r="K931" s="38"/>
    </row>
    <row r="932" spans="1:11" ht="15.75" customHeight="1">
      <c r="A932" s="39"/>
      <c r="B932" s="40"/>
      <c r="H932" s="38"/>
      <c r="K932" s="38"/>
    </row>
    <row r="933" spans="1:11" ht="15.75" customHeight="1">
      <c r="A933" s="39"/>
      <c r="B933" s="40"/>
      <c r="H933" s="38"/>
      <c r="K933" s="38"/>
    </row>
    <row r="934" spans="1:11" ht="15.75" customHeight="1">
      <c r="A934" s="39"/>
      <c r="B934" s="40"/>
      <c r="H934" s="38"/>
      <c r="K934" s="38"/>
    </row>
    <row r="935" spans="1:11" ht="15.75" customHeight="1">
      <c r="A935" s="39"/>
      <c r="B935" s="40"/>
      <c r="H935" s="38"/>
      <c r="K935" s="38"/>
    </row>
    <row r="936" spans="1:11" ht="15.75" customHeight="1">
      <c r="A936" s="39"/>
      <c r="B936" s="40"/>
      <c r="H936" s="38"/>
      <c r="K936" s="38"/>
    </row>
    <row r="937" spans="1:11" ht="15.75" customHeight="1">
      <c r="A937" s="39"/>
      <c r="B937" s="40"/>
      <c r="H937" s="38"/>
      <c r="K937" s="38"/>
    </row>
    <row r="938" spans="1:11" ht="15.75" customHeight="1">
      <c r="A938" s="39"/>
      <c r="B938" s="40"/>
      <c r="H938" s="38"/>
      <c r="K938" s="38"/>
    </row>
    <row r="939" spans="1:11" ht="15.75" customHeight="1">
      <c r="A939" s="39"/>
      <c r="B939" s="40"/>
      <c r="H939" s="38"/>
      <c r="K939" s="38"/>
    </row>
    <row r="940" spans="1:11" ht="15.75" customHeight="1">
      <c r="A940" s="39"/>
      <c r="B940" s="40"/>
      <c r="H940" s="38"/>
      <c r="K940" s="38"/>
    </row>
    <row r="941" spans="1:11" ht="15.75" customHeight="1">
      <c r="A941" s="39"/>
      <c r="B941" s="40"/>
      <c r="H941" s="38"/>
      <c r="K941" s="38"/>
    </row>
    <row r="942" spans="1:11" ht="15.75" customHeight="1">
      <c r="A942" s="39"/>
      <c r="B942" s="40"/>
      <c r="H942" s="38"/>
      <c r="K942" s="38"/>
    </row>
    <row r="943" spans="1:11" ht="15.75" customHeight="1">
      <c r="A943" s="39"/>
      <c r="B943" s="40"/>
      <c r="H943" s="38"/>
      <c r="K943" s="38"/>
    </row>
    <row r="944" spans="1:11" ht="15.75" customHeight="1">
      <c r="A944" s="39"/>
      <c r="B944" s="40"/>
      <c r="H944" s="38"/>
      <c r="K944" s="38"/>
    </row>
    <row r="945" spans="1:11" ht="15.75" customHeight="1">
      <c r="A945" s="39"/>
      <c r="B945" s="40"/>
      <c r="H945" s="38"/>
      <c r="K945" s="38"/>
    </row>
    <row r="946" spans="1:11" ht="15.75" customHeight="1">
      <c r="A946" s="39"/>
      <c r="B946" s="40"/>
      <c r="H946" s="38"/>
      <c r="K946" s="38"/>
    </row>
    <row r="947" spans="1:11" ht="15.75" customHeight="1">
      <c r="A947" s="39"/>
      <c r="B947" s="40"/>
      <c r="H947" s="38"/>
      <c r="K947" s="38"/>
    </row>
    <row r="948" spans="1:11" ht="15.75" customHeight="1">
      <c r="A948" s="39"/>
      <c r="B948" s="40"/>
      <c r="H948" s="38"/>
      <c r="K948" s="38"/>
    </row>
    <row r="949" spans="1:11" ht="15.75" customHeight="1">
      <c r="A949" s="39"/>
      <c r="B949" s="40"/>
      <c r="H949" s="38"/>
      <c r="K949" s="38"/>
    </row>
    <row r="950" spans="1:11" ht="15.75" customHeight="1">
      <c r="A950" s="39"/>
      <c r="B950" s="40"/>
      <c r="H950" s="38"/>
      <c r="K950" s="38"/>
    </row>
    <row r="951" spans="1:11" ht="15.75" customHeight="1">
      <c r="A951" s="39"/>
      <c r="B951" s="40"/>
      <c r="H951" s="38"/>
      <c r="K951" s="38"/>
    </row>
    <row r="952" spans="1:11" ht="15.75" customHeight="1">
      <c r="A952" s="39"/>
      <c r="B952" s="40"/>
      <c r="H952" s="38"/>
      <c r="K952" s="38"/>
    </row>
    <row r="953" spans="1:11" ht="15.75" customHeight="1">
      <c r="A953" s="39"/>
      <c r="B953" s="40"/>
      <c r="H953" s="38"/>
      <c r="K953" s="38"/>
    </row>
    <row r="954" spans="1:11" ht="15.75" customHeight="1">
      <c r="A954" s="39"/>
      <c r="B954" s="40"/>
      <c r="H954" s="38"/>
      <c r="K954" s="38"/>
    </row>
    <row r="955" spans="1:11" ht="15.75" customHeight="1">
      <c r="A955" s="39"/>
      <c r="B955" s="40"/>
      <c r="H955" s="38"/>
      <c r="K955" s="38"/>
    </row>
    <row r="956" spans="1:11" ht="15.75" customHeight="1">
      <c r="A956" s="39"/>
      <c r="B956" s="40"/>
      <c r="H956" s="38"/>
      <c r="K956" s="38"/>
    </row>
    <row r="957" spans="1:11" ht="15.75" customHeight="1">
      <c r="A957" s="39"/>
      <c r="B957" s="40"/>
      <c r="H957" s="38"/>
      <c r="K957" s="38"/>
    </row>
    <row r="958" spans="1:11" ht="15.75" customHeight="1">
      <c r="A958" s="39"/>
      <c r="B958" s="40"/>
      <c r="H958" s="38"/>
      <c r="K958" s="38"/>
    </row>
    <row r="959" spans="1:11" ht="15.75" customHeight="1">
      <c r="A959" s="39"/>
      <c r="B959" s="40"/>
      <c r="H959" s="38"/>
      <c r="K959" s="38"/>
    </row>
    <row r="960" spans="1:11" ht="15.75" customHeight="1">
      <c r="A960" s="39"/>
      <c r="B960" s="40"/>
      <c r="H960" s="38"/>
      <c r="K960" s="38"/>
    </row>
    <row r="961" spans="1:11" ht="15.75" customHeight="1">
      <c r="A961" s="39"/>
      <c r="B961" s="40"/>
      <c r="H961" s="38"/>
      <c r="K961" s="38"/>
    </row>
    <row r="962" spans="1:11" ht="15.75" customHeight="1">
      <c r="A962" s="39"/>
      <c r="B962" s="40"/>
      <c r="H962" s="38"/>
      <c r="K962" s="38"/>
    </row>
    <row r="963" spans="1:11" ht="15.75" customHeight="1">
      <c r="A963" s="39"/>
      <c r="B963" s="40"/>
      <c r="H963" s="38"/>
      <c r="K963" s="38"/>
    </row>
    <row r="964" spans="1:11" ht="15.75" customHeight="1">
      <c r="A964" s="39"/>
      <c r="B964" s="40"/>
      <c r="H964" s="38"/>
      <c r="K964" s="38"/>
    </row>
    <row r="965" spans="1:11" ht="15.75" customHeight="1">
      <c r="A965" s="39"/>
      <c r="B965" s="40"/>
      <c r="H965" s="38"/>
      <c r="K965" s="38"/>
    </row>
    <row r="966" spans="1:11" ht="15.75" customHeight="1">
      <c r="A966" s="39"/>
      <c r="B966" s="40"/>
      <c r="H966" s="38"/>
      <c r="K966" s="38"/>
    </row>
    <row r="967" spans="1:11" ht="15.75" customHeight="1">
      <c r="A967" s="39"/>
      <c r="B967" s="40"/>
      <c r="H967" s="38"/>
      <c r="K967" s="38"/>
    </row>
    <row r="968" spans="1:11" ht="15.75" customHeight="1">
      <c r="A968" s="39"/>
      <c r="B968" s="40"/>
      <c r="H968" s="38"/>
      <c r="K968" s="38"/>
    </row>
    <row r="969" spans="1:11" ht="15.75" customHeight="1">
      <c r="A969" s="39"/>
      <c r="B969" s="40"/>
      <c r="H969" s="38"/>
      <c r="K969" s="38"/>
    </row>
    <row r="970" spans="1:11" ht="15.75" customHeight="1">
      <c r="A970" s="39"/>
      <c r="B970" s="40"/>
      <c r="H970" s="38"/>
      <c r="K970" s="38"/>
    </row>
    <row r="971" spans="1:11" ht="15.75" customHeight="1">
      <c r="A971" s="39"/>
      <c r="B971" s="40"/>
      <c r="H971" s="38"/>
      <c r="K971" s="38"/>
    </row>
    <row r="972" spans="1:11" ht="15.75" customHeight="1">
      <c r="A972" s="39"/>
      <c r="B972" s="40"/>
      <c r="H972" s="38"/>
      <c r="K972" s="38"/>
    </row>
    <row r="973" spans="1:11" ht="15.75" customHeight="1">
      <c r="A973" s="39"/>
      <c r="B973" s="40"/>
      <c r="H973" s="38"/>
      <c r="K973" s="38"/>
    </row>
    <row r="974" spans="1:11" ht="15.75" customHeight="1">
      <c r="A974" s="39"/>
      <c r="B974" s="40"/>
      <c r="H974" s="38"/>
      <c r="K974" s="38"/>
    </row>
    <row r="975" spans="1:11" ht="15.75" customHeight="1">
      <c r="A975" s="39"/>
      <c r="B975" s="40"/>
      <c r="H975" s="38"/>
      <c r="K975" s="38"/>
    </row>
    <row r="976" spans="1:11" ht="15.75" customHeight="1">
      <c r="A976" s="39"/>
      <c r="B976" s="40"/>
      <c r="H976" s="38"/>
      <c r="K976" s="38"/>
    </row>
    <row r="977" spans="1:11" ht="15.75" customHeight="1">
      <c r="A977" s="39"/>
      <c r="B977" s="40"/>
      <c r="H977" s="38"/>
      <c r="K977" s="38"/>
    </row>
    <row r="978" spans="1:11" ht="15.75" customHeight="1">
      <c r="A978" s="39"/>
      <c r="B978" s="40"/>
      <c r="H978" s="38"/>
      <c r="K978" s="38"/>
    </row>
    <row r="979" spans="1:11" ht="15.75" customHeight="1">
      <c r="A979" s="39"/>
      <c r="B979" s="40"/>
      <c r="H979" s="38"/>
      <c r="K979" s="38"/>
    </row>
    <row r="980" spans="1:11" ht="15.75" customHeight="1">
      <c r="A980" s="39"/>
      <c r="B980" s="40"/>
      <c r="H980" s="38"/>
      <c r="K980" s="38"/>
    </row>
    <row r="981" spans="1:11" ht="15.75" customHeight="1">
      <c r="A981" s="39"/>
      <c r="B981" s="40"/>
      <c r="H981" s="38"/>
      <c r="K981" s="38"/>
    </row>
    <row r="982" spans="1:11" ht="15.75" customHeight="1">
      <c r="A982" s="39"/>
      <c r="B982" s="40"/>
      <c r="H982" s="38"/>
      <c r="K982" s="38"/>
    </row>
    <row r="983" spans="1:11" ht="15.75" customHeight="1">
      <c r="A983" s="39"/>
      <c r="B983" s="40"/>
      <c r="H983" s="38"/>
      <c r="K983" s="38"/>
    </row>
    <row r="984" spans="1:11" ht="15.75" customHeight="1">
      <c r="A984" s="39"/>
      <c r="B984" s="40"/>
      <c r="H984" s="38"/>
      <c r="K984" s="38"/>
    </row>
    <row r="985" spans="1:11" ht="15.75" customHeight="1">
      <c r="A985" s="39"/>
      <c r="B985" s="40"/>
      <c r="H985" s="38"/>
      <c r="K985" s="38"/>
    </row>
    <row r="986" spans="1:11" ht="15.75" customHeight="1">
      <c r="A986" s="39"/>
      <c r="B986" s="40"/>
      <c r="H986" s="38"/>
      <c r="K986" s="38"/>
    </row>
    <row r="987" spans="1:11" ht="15.75" customHeight="1">
      <c r="A987" s="39"/>
      <c r="B987" s="40"/>
      <c r="H987" s="38"/>
      <c r="K987" s="38"/>
    </row>
    <row r="988" spans="1:11" ht="15.75" customHeight="1">
      <c r="A988" s="39"/>
      <c r="B988" s="40"/>
      <c r="H988" s="38"/>
      <c r="K988" s="38"/>
    </row>
    <row r="989" spans="1:11" ht="15.75" customHeight="1">
      <c r="A989" s="39"/>
      <c r="B989" s="40"/>
      <c r="H989" s="38"/>
      <c r="K989" s="38"/>
    </row>
    <row r="990" spans="1:11" ht="15.75" customHeight="1">
      <c r="A990" s="39"/>
      <c r="B990" s="40"/>
      <c r="H990" s="38"/>
      <c r="K990" s="38"/>
    </row>
    <row r="991" spans="1:11" ht="15.75" customHeight="1">
      <c r="A991" s="39"/>
      <c r="B991" s="40"/>
      <c r="H991" s="38"/>
      <c r="K991" s="38"/>
    </row>
    <row r="992" spans="1:11" ht="15.75" customHeight="1">
      <c r="A992" s="39"/>
      <c r="B992" s="40"/>
      <c r="H992" s="38"/>
      <c r="K992" s="38"/>
    </row>
    <row r="993" spans="1:11" ht="15.75" customHeight="1">
      <c r="A993" s="39"/>
      <c r="B993" s="40"/>
      <c r="H993" s="38"/>
      <c r="K993" s="38"/>
    </row>
    <row r="994" spans="1:11" ht="15.75" customHeight="1">
      <c r="A994" s="39"/>
      <c r="B994" s="40"/>
      <c r="H994" s="38"/>
      <c r="K994" s="38"/>
    </row>
    <row r="995" spans="1:11" ht="15.75" customHeight="1">
      <c r="A995" s="39"/>
      <c r="B995" s="40"/>
      <c r="H995" s="38"/>
      <c r="K995" s="38"/>
    </row>
    <row r="996" spans="1:11" ht="15.75" customHeight="1">
      <c r="A996" s="39"/>
      <c r="B996" s="40"/>
      <c r="H996" s="38"/>
      <c r="K996" s="38"/>
    </row>
    <row r="997" spans="1:11" ht="15.75" customHeight="1">
      <c r="A997" s="39"/>
      <c r="B997" s="40"/>
      <c r="H997" s="38"/>
      <c r="K997" s="38"/>
    </row>
    <row r="998" spans="1:11" ht="15.75" customHeight="1">
      <c r="A998" s="39"/>
      <c r="B998" s="40"/>
      <c r="H998" s="38"/>
      <c r="K998" s="38"/>
    </row>
    <row r="999" spans="1:11" ht="15.75" customHeight="1">
      <c r="A999" s="39"/>
      <c r="B999" s="40"/>
      <c r="H999" s="38"/>
      <c r="K999" s="38"/>
    </row>
    <row r="1000" spans="1:11" ht="15.75" customHeight="1">
      <c r="A1000" s="39"/>
      <c r="B1000" s="40"/>
      <c r="H1000" s="38"/>
      <c r="K1000" s="38"/>
    </row>
    <row r="1001" spans="1:11" ht="15.75" customHeight="1">
      <c r="A1001" s="39"/>
      <c r="B1001" s="40"/>
      <c r="H1001" s="38"/>
      <c r="K1001" s="38"/>
    </row>
  </sheetData>
  <mergeCells count="2">
    <mergeCell ref="A1:B1"/>
    <mergeCell ref="J7:K7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selection activeCell="L18" sqref="L18"/>
    </sheetView>
  </sheetViews>
  <sheetFormatPr defaultColWidth="14.42578125" defaultRowHeight="15" customHeight="1"/>
  <cols>
    <col min="1" max="1" width="35.28515625" customWidth="1"/>
    <col min="2" max="2" width="20.5703125" customWidth="1"/>
    <col min="3" max="5" width="8.7109375" customWidth="1"/>
    <col min="6" max="6" width="16.28515625" customWidth="1"/>
    <col min="7" max="7" width="22.7109375" customWidth="1"/>
    <col min="8" max="8" width="13.5703125" customWidth="1"/>
    <col min="9" max="9" width="4.5703125" customWidth="1"/>
    <col min="10" max="10" width="17" customWidth="1"/>
    <col min="11" max="11" width="17.42578125" customWidth="1"/>
    <col min="12" max="26" width="8.7109375" customWidth="1"/>
  </cols>
  <sheetData>
    <row r="1" spans="1:11">
      <c r="A1" s="75" t="s">
        <v>36</v>
      </c>
      <c r="B1" s="64"/>
      <c r="D1" s="37" t="s">
        <v>37</v>
      </c>
      <c r="H1" s="38"/>
      <c r="K1" s="38"/>
    </row>
    <row r="2" spans="1:11">
      <c r="A2" s="39"/>
      <c r="B2" s="40"/>
      <c r="D2" s="37" t="s">
        <v>38</v>
      </c>
      <c r="H2" s="38"/>
      <c r="K2" s="38"/>
    </row>
    <row r="3" spans="1:11" ht="18.75" customHeight="1">
      <c r="A3" s="41" t="s">
        <v>39</v>
      </c>
      <c r="B3" s="42">
        <f>'without Surcharge'!B3</f>
        <v>3586.8768</v>
      </c>
      <c r="D3" s="37" t="s">
        <v>40</v>
      </c>
      <c r="H3" s="38"/>
      <c r="K3" s="38"/>
    </row>
    <row r="4" spans="1:11" ht="22.5" customHeight="1">
      <c r="A4" s="41" t="s">
        <v>41</v>
      </c>
      <c r="B4" s="43"/>
      <c r="D4" s="37" t="s">
        <v>42</v>
      </c>
      <c r="H4" s="38"/>
      <c r="K4" s="38"/>
    </row>
    <row r="5" spans="1:11" ht="24" customHeight="1">
      <c r="A5" s="41" t="s">
        <v>43</v>
      </c>
      <c r="B5" s="51">
        <v>4975.08</v>
      </c>
      <c r="D5" s="37" t="s">
        <v>44</v>
      </c>
      <c r="G5" s="39"/>
      <c r="H5" s="39"/>
      <c r="K5" s="38"/>
    </row>
    <row r="6" spans="1:11" ht="19.5" customHeight="1">
      <c r="A6" s="41" t="s">
        <v>45</v>
      </c>
      <c r="B6" s="42">
        <f>+B5*B3</f>
        <v>17844999.030143999</v>
      </c>
      <c r="D6" s="37" t="s">
        <v>46</v>
      </c>
      <c r="G6" s="39"/>
      <c r="H6" s="38"/>
      <c r="K6" s="38"/>
    </row>
    <row r="7" spans="1:11" ht="16.5" customHeight="1">
      <c r="A7" s="41"/>
      <c r="B7" s="42"/>
      <c r="D7" s="37" t="s">
        <v>47</v>
      </c>
      <c r="H7" s="38"/>
      <c r="J7" s="76"/>
      <c r="K7" s="64"/>
    </row>
    <row r="8" spans="1:11" ht="21" customHeight="1">
      <c r="A8" s="41" t="s">
        <v>48</v>
      </c>
      <c r="B8" s="42">
        <f>25%*B6</f>
        <v>4461249.7575359996</v>
      </c>
      <c r="G8" s="45"/>
      <c r="H8" s="49"/>
      <c r="J8" s="39"/>
      <c r="K8" s="49"/>
    </row>
    <row r="9" spans="1:11" ht="22.5" customHeight="1">
      <c r="A9" s="41" t="s">
        <v>49</v>
      </c>
      <c r="B9" s="42">
        <f>(B8+B6)*18%</f>
        <v>4015124.7817823999</v>
      </c>
      <c r="G9" s="39"/>
      <c r="H9" s="49"/>
      <c r="J9" s="39"/>
      <c r="K9" s="49"/>
    </row>
    <row r="10" spans="1:11" ht="25.5" customHeight="1">
      <c r="A10" s="41" t="s">
        <v>50</v>
      </c>
      <c r="B10" s="42">
        <f>6%*B6</f>
        <v>1070699.9418086398</v>
      </c>
      <c r="F10" s="39"/>
      <c r="G10" s="39"/>
      <c r="H10" s="49"/>
      <c r="J10" s="39"/>
      <c r="K10" s="49"/>
    </row>
    <row r="11" spans="1:11" ht="24" customHeight="1">
      <c r="A11" s="41" t="s">
        <v>57</v>
      </c>
      <c r="B11" s="42">
        <f>20%*B6</f>
        <v>3568999.8060288001</v>
      </c>
      <c r="F11" s="39"/>
      <c r="G11" s="46"/>
      <c r="H11" s="38"/>
      <c r="K11" s="38"/>
    </row>
    <row r="12" spans="1:11" ht="24" customHeight="1">
      <c r="A12" s="41" t="s">
        <v>58</v>
      </c>
      <c r="B12" s="42">
        <v>1500000</v>
      </c>
      <c r="F12" s="39"/>
      <c r="G12" s="46"/>
      <c r="H12" s="38"/>
      <c r="J12" s="39"/>
      <c r="K12" s="49"/>
    </row>
    <row r="13" spans="1:11" ht="24" customHeight="1">
      <c r="A13" s="41" t="s">
        <v>59</v>
      </c>
      <c r="B13" s="42">
        <v>18000</v>
      </c>
      <c r="F13" s="39"/>
      <c r="G13" s="46"/>
      <c r="H13" s="38"/>
      <c r="K13" s="38"/>
    </row>
    <row r="14" spans="1:11" ht="24" customHeight="1">
      <c r="A14" s="41" t="s">
        <v>60</v>
      </c>
      <c r="B14" s="42">
        <v>35000</v>
      </c>
      <c r="F14" s="39"/>
      <c r="G14" s="46"/>
      <c r="H14" s="38"/>
      <c r="K14" s="38"/>
    </row>
    <row r="15" spans="1:11" ht="24" customHeight="1">
      <c r="A15" s="41" t="s">
        <v>61</v>
      </c>
      <c r="B15" s="42">
        <f>1.5%*B6</f>
        <v>267674.98545215995</v>
      </c>
      <c r="F15" s="39"/>
      <c r="G15" s="46"/>
      <c r="H15" s="38"/>
      <c r="K15" s="38"/>
    </row>
    <row r="16" spans="1:11">
      <c r="A16" s="41" t="s">
        <v>56</v>
      </c>
      <c r="B16" s="52">
        <f>SUM(B8:B15)</f>
        <v>14936749.272607999</v>
      </c>
      <c r="F16" s="39"/>
      <c r="G16" s="46"/>
      <c r="H16" s="50"/>
      <c r="K16" s="38"/>
    </row>
    <row r="17" spans="1:11">
      <c r="A17" s="39"/>
      <c r="B17" s="40"/>
      <c r="F17" s="39"/>
      <c r="G17" s="46"/>
      <c r="H17" s="49"/>
      <c r="K17" s="38"/>
    </row>
    <row r="18" spans="1:11">
      <c r="A18" s="39"/>
      <c r="B18" s="40"/>
      <c r="F18" s="39"/>
      <c r="G18" s="46"/>
      <c r="H18" s="38"/>
      <c r="K18" s="38"/>
    </row>
    <row r="19" spans="1:11">
      <c r="A19" s="39"/>
      <c r="B19" s="40"/>
      <c r="G19" s="46"/>
      <c r="H19" s="38"/>
      <c r="K19" s="38"/>
    </row>
    <row r="20" spans="1:11">
      <c r="A20" s="39"/>
      <c r="B20" s="40"/>
      <c r="G20" s="46"/>
      <c r="H20" s="49"/>
      <c r="K20" s="38"/>
    </row>
    <row r="21" spans="1:11" ht="15.75" customHeight="1">
      <c r="A21" s="39"/>
      <c r="B21" s="40"/>
      <c r="H21" s="38"/>
      <c r="K21" s="38"/>
    </row>
    <row r="22" spans="1:11" ht="15.75" customHeight="1">
      <c r="A22" s="39"/>
      <c r="B22" s="40"/>
      <c r="G22" s="46"/>
      <c r="H22" s="38"/>
      <c r="K22" s="38"/>
    </row>
    <row r="23" spans="1:11" ht="15.75" customHeight="1">
      <c r="A23" s="39"/>
      <c r="B23" s="40"/>
      <c r="G23" s="46"/>
      <c r="H23" s="49"/>
      <c r="K23" s="38"/>
    </row>
    <row r="24" spans="1:11" ht="15.75" customHeight="1">
      <c r="A24" s="39"/>
      <c r="B24" s="40"/>
      <c r="H24" s="38"/>
      <c r="K24" s="38"/>
    </row>
    <row r="25" spans="1:11" ht="15.75" customHeight="1">
      <c r="A25" s="39"/>
      <c r="B25" s="40"/>
      <c r="H25" s="38"/>
      <c r="K25" s="38"/>
    </row>
    <row r="26" spans="1:11" ht="15.75" customHeight="1">
      <c r="A26" s="39"/>
      <c r="B26" s="40"/>
      <c r="H26" s="38"/>
      <c r="K26" s="38"/>
    </row>
    <row r="27" spans="1:11" ht="15.75" customHeight="1">
      <c r="A27" s="39"/>
      <c r="B27" s="40"/>
      <c r="H27" s="38"/>
      <c r="K27" s="38"/>
    </row>
    <row r="28" spans="1:11" ht="15.75" customHeight="1">
      <c r="A28" s="39"/>
      <c r="B28" s="40"/>
      <c r="H28" s="38"/>
      <c r="K28" s="38"/>
    </row>
    <row r="29" spans="1:11" ht="15.75" customHeight="1">
      <c r="A29" s="39"/>
      <c r="B29" s="40"/>
      <c r="H29" s="38"/>
      <c r="K29" s="38"/>
    </row>
    <row r="30" spans="1:11" ht="15.75" customHeight="1">
      <c r="A30" s="39"/>
      <c r="B30" s="40"/>
      <c r="H30" s="38"/>
      <c r="K30" s="38"/>
    </row>
    <row r="31" spans="1:11" ht="15.75" customHeight="1">
      <c r="A31" s="39"/>
      <c r="B31" s="40"/>
      <c r="H31" s="38"/>
      <c r="K31" s="38"/>
    </row>
    <row r="32" spans="1:11" ht="15.75" customHeight="1">
      <c r="A32" s="39"/>
      <c r="B32" s="40"/>
      <c r="H32" s="38"/>
      <c r="K32" s="38"/>
    </row>
    <row r="33" spans="1:11" ht="15.75" customHeight="1">
      <c r="A33" s="39"/>
      <c r="B33" s="40"/>
      <c r="H33" s="38"/>
      <c r="K33" s="38"/>
    </row>
    <row r="34" spans="1:11" ht="15.75" customHeight="1">
      <c r="A34" s="39"/>
      <c r="B34" s="40"/>
      <c r="H34" s="38"/>
      <c r="K34" s="38"/>
    </row>
    <row r="35" spans="1:11" ht="15.75" customHeight="1">
      <c r="A35" s="39"/>
      <c r="B35" s="40"/>
      <c r="H35" s="38"/>
      <c r="K35" s="38"/>
    </row>
    <row r="36" spans="1:11" ht="15.75" customHeight="1">
      <c r="A36" s="39"/>
      <c r="B36" s="40"/>
      <c r="H36" s="38"/>
      <c r="K36" s="38"/>
    </row>
    <row r="37" spans="1:11" ht="15.75" customHeight="1">
      <c r="A37" s="39"/>
      <c r="B37" s="40"/>
      <c r="H37" s="38"/>
      <c r="K37" s="38"/>
    </row>
    <row r="38" spans="1:11" ht="15.75" customHeight="1">
      <c r="A38" s="39"/>
      <c r="B38" s="40"/>
      <c r="H38" s="38"/>
      <c r="K38" s="38"/>
    </row>
    <row r="39" spans="1:11" ht="15.75" customHeight="1">
      <c r="A39" s="39"/>
      <c r="B39" s="40"/>
      <c r="H39" s="38"/>
      <c r="K39" s="38"/>
    </row>
    <row r="40" spans="1:11" ht="15.75" customHeight="1">
      <c r="A40" s="39"/>
      <c r="B40" s="40"/>
      <c r="H40" s="38"/>
      <c r="K40" s="38"/>
    </row>
    <row r="41" spans="1:11" ht="15.75" customHeight="1">
      <c r="A41" s="39"/>
      <c r="B41" s="40"/>
      <c r="H41" s="38"/>
      <c r="K41" s="38"/>
    </row>
    <row r="42" spans="1:11" ht="15.75" customHeight="1">
      <c r="A42" s="39"/>
      <c r="B42" s="40"/>
      <c r="H42" s="38"/>
      <c r="K42" s="38"/>
    </row>
    <row r="43" spans="1:11" ht="15.75" customHeight="1">
      <c r="A43" s="39"/>
      <c r="B43" s="40"/>
      <c r="H43" s="38"/>
      <c r="K43" s="38"/>
    </row>
    <row r="44" spans="1:11" ht="15.75" customHeight="1">
      <c r="A44" s="39"/>
      <c r="B44" s="40"/>
      <c r="H44" s="38"/>
      <c r="K44" s="38"/>
    </row>
    <row r="45" spans="1:11" ht="15.75" customHeight="1">
      <c r="A45" s="39"/>
      <c r="B45" s="40"/>
      <c r="H45" s="38"/>
      <c r="K45" s="38"/>
    </row>
    <row r="46" spans="1:11" ht="15.75" customHeight="1">
      <c r="A46" s="39"/>
      <c r="B46" s="40"/>
      <c r="H46" s="38"/>
      <c r="K46" s="38"/>
    </row>
    <row r="47" spans="1:11" ht="15.75" customHeight="1">
      <c r="A47" s="39"/>
      <c r="B47" s="40"/>
      <c r="H47" s="38"/>
      <c r="K47" s="38"/>
    </row>
    <row r="48" spans="1:11" ht="15.75" customHeight="1">
      <c r="A48" s="39"/>
      <c r="B48" s="40"/>
      <c r="H48" s="38"/>
      <c r="K48" s="38"/>
    </row>
    <row r="49" spans="1:11" ht="15.75" customHeight="1">
      <c r="A49" s="39"/>
      <c r="B49" s="40"/>
      <c r="H49" s="38"/>
      <c r="K49" s="38"/>
    </row>
    <row r="50" spans="1:11" ht="15.75" customHeight="1">
      <c r="A50" s="39"/>
      <c r="B50" s="40"/>
      <c r="H50" s="38"/>
      <c r="K50" s="38"/>
    </row>
    <row r="51" spans="1:11" ht="15.75" customHeight="1">
      <c r="A51" s="39"/>
      <c r="B51" s="40"/>
      <c r="H51" s="38"/>
      <c r="K51" s="38"/>
    </row>
    <row r="52" spans="1:11" ht="15.75" customHeight="1">
      <c r="A52" s="39"/>
      <c r="B52" s="40"/>
      <c r="H52" s="38"/>
      <c r="K52" s="38"/>
    </row>
    <row r="53" spans="1:11" ht="15.75" customHeight="1">
      <c r="A53" s="39"/>
      <c r="B53" s="40"/>
      <c r="H53" s="38"/>
      <c r="K53" s="38"/>
    </row>
    <row r="54" spans="1:11" ht="15.75" customHeight="1">
      <c r="A54" s="39"/>
      <c r="B54" s="40"/>
      <c r="H54" s="38"/>
      <c r="K54" s="38"/>
    </row>
    <row r="55" spans="1:11" ht="15.75" customHeight="1">
      <c r="A55" s="39"/>
      <c r="B55" s="40"/>
      <c r="H55" s="38"/>
      <c r="K55" s="38"/>
    </row>
    <row r="56" spans="1:11" ht="15.75" customHeight="1">
      <c r="A56" s="39"/>
      <c r="B56" s="40"/>
      <c r="H56" s="38"/>
      <c r="K56" s="38"/>
    </row>
    <row r="57" spans="1:11" ht="15.75" customHeight="1">
      <c r="A57" s="39"/>
      <c r="B57" s="40"/>
      <c r="H57" s="38"/>
      <c r="K57" s="38"/>
    </row>
    <row r="58" spans="1:11" ht="15.75" customHeight="1">
      <c r="A58" s="39"/>
      <c r="B58" s="40"/>
      <c r="H58" s="38"/>
      <c r="K58" s="38"/>
    </row>
    <row r="59" spans="1:11" ht="15.75" customHeight="1">
      <c r="A59" s="39"/>
      <c r="B59" s="40"/>
      <c r="H59" s="38"/>
      <c r="K59" s="38"/>
    </row>
    <row r="60" spans="1:11" ht="15.75" customHeight="1">
      <c r="A60" s="39"/>
      <c r="B60" s="40"/>
      <c r="H60" s="38"/>
      <c r="K60" s="38"/>
    </row>
    <row r="61" spans="1:11" ht="15.75" customHeight="1">
      <c r="A61" s="39"/>
      <c r="B61" s="40"/>
      <c r="H61" s="38"/>
      <c r="K61" s="38"/>
    </row>
    <row r="62" spans="1:11" ht="15.75" customHeight="1">
      <c r="A62" s="39"/>
      <c r="B62" s="40"/>
      <c r="H62" s="38"/>
      <c r="K62" s="38"/>
    </row>
    <row r="63" spans="1:11" ht="15.75" customHeight="1">
      <c r="A63" s="39"/>
      <c r="B63" s="40"/>
      <c r="H63" s="38"/>
      <c r="K63" s="38"/>
    </row>
    <row r="64" spans="1:11" ht="15.75" customHeight="1">
      <c r="A64" s="39"/>
      <c r="B64" s="40"/>
      <c r="H64" s="38"/>
      <c r="K64" s="38"/>
    </row>
    <row r="65" spans="1:11" ht="15.75" customHeight="1">
      <c r="A65" s="39"/>
      <c r="B65" s="40"/>
      <c r="H65" s="38"/>
      <c r="K65" s="38"/>
    </row>
    <row r="66" spans="1:11" ht="15.75" customHeight="1">
      <c r="A66" s="39"/>
      <c r="B66" s="40"/>
      <c r="H66" s="38"/>
      <c r="K66" s="38"/>
    </row>
    <row r="67" spans="1:11" ht="15.75" customHeight="1">
      <c r="A67" s="39"/>
      <c r="B67" s="40"/>
      <c r="H67" s="38"/>
      <c r="K67" s="38"/>
    </row>
    <row r="68" spans="1:11" ht="15.75" customHeight="1">
      <c r="A68" s="39"/>
      <c r="B68" s="40"/>
      <c r="H68" s="38"/>
      <c r="K68" s="38"/>
    </row>
    <row r="69" spans="1:11" ht="15.75" customHeight="1">
      <c r="A69" s="39"/>
      <c r="B69" s="40"/>
      <c r="H69" s="38"/>
      <c r="K69" s="38"/>
    </row>
    <row r="70" spans="1:11" ht="15.75" customHeight="1">
      <c r="A70" s="39"/>
      <c r="B70" s="40"/>
      <c r="H70" s="38"/>
      <c r="K70" s="38"/>
    </row>
    <row r="71" spans="1:11" ht="15.75" customHeight="1">
      <c r="A71" s="39"/>
      <c r="B71" s="40"/>
      <c r="H71" s="38"/>
      <c r="K71" s="38"/>
    </row>
    <row r="72" spans="1:11" ht="15.75" customHeight="1">
      <c r="A72" s="39"/>
      <c r="B72" s="40"/>
      <c r="H72" s="38"/>
      <c r="K72" s="38"/>
    </row>
    <row r="73" spans="1:11" ht="15.75" customHeight="1">
      <c r="A73" s="39"/>
      <c r="B73" s="40"/>
      <c r="H73" s="38"/>
      <c r="K73" s="38"/>
    </row>
    <row r="74" spans="1:11" ht="15.75" customHeight="1">
      <c r="A74" s="39"/>
      <c r="B74" s="40"/>
      <c r="H74" s="38"/>
      <c r="K74" s="38"/>
    </row>
    <row r="75" spans="1:11" ht="15.75" customHeight="1">
      <c r="A75" s="39"/>
      <c r="B75" s="40"/>
      <c r="H75" s="38"/>
      <c r="K75" s="38"/>
    </row>
    <row r="76" spans="1:11" ht="15.75" customHeight="1">
      <c r="A76" s="39"/>
      <c r="B76" s="40"/>
      <c r="H76" s="38"/>
      <c r="K76" s="38"/>
    </row>
    <row r="77" spans="1:11" ht="15.75" customHeight="1">
      <c r="A77" s="39"/>
      <c r="B77" s="40"/>
      <c r="H77" s="38"/>
      <c r="K77" s="38"/>
    </row>
    <row r="78" spans="1:11" ht="15.75" customHeight="1">
      <c r="A78" s="39"/>
      <c r="B78" s="40"/>
      <c r="H78" s="38"/>
      <c r="K78" s="38"/>
    </row>
    <row r="79" spans="1:11" ht="15.75" customHeight="1">
      <c r="A79" s="39"/>
      <c r="B79" s="40"/>
      <c r="H79" s="38"/>
      <c r="K79" s="38"/>
    </row>
    <row r="80" spans="1:11" ht="15.75" customHeight="1">
      <c r="A80" s="39"/>
      <c r="B80" s="40"/>
      <c r="H80" s="38"/>
      <c r="K80" s="38"/>
    </row>
    <row r="81" spans="1:11" ht="15.75" customHeight="1">
      <c r="A81" s="39"/>
      <c r="B81" s="40"/>
      <c r="H81" s="38"/>
      <c r="K81" s="38"/>
    </row>
    <row r="82" spans="1:11" ht="15.75" customHeight="1">
      <c r="A82" s="39"/>
      <c r="B82" s="40"/>
      <c r="H82" s="38"/>
      <c r="K82" s="38"/>
    </row>
    <row r="83" spans="1:11" ht="15.75" customHeight="1">
      <c r="A83" s="39"/>
      <c r="B83" s="40"/>
      <c r="H83" s="38"/>
      <c r="K83" s="38"/>
    </row>
    <row r="84" spans="1:11" ht="15.75" customHeight="1">
      <c r="A84" s="39"/>
      <c r="B84" s="40"/>
      <c r="H84" s="38"/>
      <c r="K84" s="38"/>
    </row>
    <row r="85" spans="1:11" ht="15.75" customHeight="1">
      <c r="A85" s="39"/>
      <c r="B85" s="40"/>
      <c r="H85" s="38"/>
      <c r="K85" s="38"/>
    </row>
    <row r="86" spans="1:11" ht="15.75" customHeight="1">
      <c r="A86" s="39"/>
      <c r="B86" s="40"/>
      <c r="H86" s="38"/>
      <c r="K86" s="38"/>
    </row>
    <row r="87" spans="1:11" ht="15.75" customHeight="1">
      <c r="A87" s="39"/>
      <c r="B87" s="40"/>
      <c r="H87" s="38"/>
      <c r="K87" s="38"/>
    </row>
    <row r="88" spans="1:11" ht="15.75" customHeight="1">
      <c r="A88" s="39"/>
      <c r="B88" s="40"/>
      <c r="H88" s="38"/>
      <c r="K88" s="38"/>
    </row>
    <row r="89" spans="1:11" ht="15.75" customHeight="1">
      <c r="A89" s="39"/>
      <c r="B89" s="40"/>
      <c r="H89" s="38"/>
      <c r="K89" s="38"/>
    </row>
    <row r="90" spans="1:11" ht="15.75" customHeight="1">
      <c r="A90" s="39"/>
      <c r="B90" s="40"/>
      <c r="H90" s="38"/>
      <c r="K90" s="38"/>
    </row>
    <row r="91" spans="1:11" ht="15.75" customHeight="1">
      <c r="A91" s="39"/>
      <c r="B91" s="40"/>
      <c r="H91" s="38"/>
      <c r="K91" s="38"/>
    </row>
    <row r="92" spans="1:11" ht="15.75" customHeight="1">
      <c r="A92" s="39"/>
      <c r="B92" s="40"/>
      <c r="H92" s="38"/>
      <c r="K92" s="38"/>
    </row>
    <row r="93" spans="1:11" ht="15.75" customHeight="1">
      <c r="A93" s="39"/>
      <c r="B93" s="40"/>
      <c r="H93" s="38"/>
      <c r="K93" s="38"/>
    </row>
    <row r="94" spans="1:11" ht="15.75" customHeight="1">
      <c r="A94" s="39"/>
      <c r="B94" s="40"/>
      <c r="H94" s="38"/>
      <c r="K94" s="38"/>
    </row>
    <row r="95" spans="1:11" ht="15.75" customHeight="1">
      <c r="A95" s="39"/>
      <c r="B95" s="40"/>
      <c r="H95" s="38"/>
      <c r="K95" s="38"/>
    </row>
    <row r="96" spans="1:11" ht="15.75" customHeight="1">
      <c r="A96" s="39"/>
      <c r="B96" s="40"/>
      <c r="H96" s="38"/>
      <c r="K96" s="38"/>
    </row>
    <row r="97" spans="1:11" ht="15.75" customHeight="1">
      <c r="A97" s="39"/>
      <c r="B97" s="40"/>
      <c r="H97" s="38"/>
      <c r="K97" s="38"/>
    </row>
    <row r="98" spans="1:11" ht="15.75" customHeight="1">
      <c r="A98" s="39"/>
      <c r="B98" s="40"/>
      <c r="H98" s="38"/>
      <c r="K98" s="38"/>
    </row>
    <row r="99" spans="1:11" ht="15.75" customHeight="1">
      <c r="A99" s="39"/>
      <c r="B99" s="40"/>
      <c r="H99" s="38"/>
      <c r="K99" s="38"/>
    </row>
    <row r="100" spans="1:11" ht="15.75" customHeight="1">
      <c r="A100" s="39"/>
      <c r="B100" s="40"/>
      <c r="H100" s="38"/>
      <c r="K100" s="38"/>
    </row>
    <row r="101" spans="1:11" ht="15.75" customHeight="1">
      <c r="A101" s="39"/>
      <c r="B101" s="40"/>
      <c r="H101" s="38"/>
      <c r="K101" s="38"/>
    </row>
    <row r="102" spans="1:11" ht="15.75" customHeight="1">
      <c r="A102" s="39"/>
      <c r="B102" s="40"/>
      <c r="H102" s="38"/>
      <c r="K102" s="38"/>
    </row>
    <row r="103" spans="1:11" ht="15.75" customHeight="1">
      <c r="A103" s="39"/>
      <c r="B103" s="40"/>
      <c r="H103" s="38"/>
      <c r="K103" s="38"/>
    </row>
    <row r="104" spans="1:11" ht="15.75" customHeight="1">
      <c r="A104" s="39"/>
      <c r="B104" s="40"/>
      <c r="H104" s="38"/>
      <c r="K104" s="38"/>
    </row>
    <row r="105" spans="1:11" ht="15.75" customHeight="1">
      <c r="A105" s="39"/>
      <c r="B105" s="40"/>
      <c r="H105" s="38"/>
      <c r="K105" s="38"/>
    </row>
    <row r="106" spans="1:11" ht="15.75" customHeight="1">
      <c r="A106" s="39"/>
      <c r="B106" s="40"/>
      <c r="H106" s="38"/>
      <c r="K106" s="38"/>
    </row>
    <row r="107" spans="1:11" ht="15.75" customHeight="1">
      <c r="A107" s="39"/>
      <c r="B107" s="40"/>
      <c r="H107" s="38"/>
      <c r="K107" s="38"/>
    </row>
    <row r="108" spans="1:11" ht="15.75" customHeight="1">
      <c r="A108" s="39"/>
      <c r="B108" s="40"/>
      <c r="H108" s="38"/>
      <c r="K108" s="38"/>
    </row>
    <row r="109" spans="1:11" ht="15.75" customHeight="1">
      <c r="A109" s="39"/>
      <c r="B109" s="40"/>
      <c r="H109" s="38"/>
      <c r="K109" s="38"/>
    </row>
    <row r="110" spans="1:11" ht="15.75" customHeight="1">
      <c r="A110" s="39"/>
      <c r="B110" s="40"/>
      <c r="H110" s="38"/>
      <c r="K110" s="38"/>
    </row>
    <row r="111" spans="1:11" ht="15.75" customHeight="1">
      <c r="A111" s="39"/>
      <c r="B111" s="40"/>
      <c r="H111" s="38"/>
      <c r="K111" s="38"/>
    </row>
    <row r="112" spans="1:11" ht="15.75" customHeight="1">
      <c r="A112" s="39"/>
      <c r="B112" s="40"/>
      <c r="H112" s="38"/>
      <c r="K112" s="38"/>
    </row>
    <row r="113" spans="1:11" ht="15.75" customHeight="1">
      <c r="A113" s="39"/>
      <c r="B113" s="40"/>
      <c r="H113" s="38"/>
      <c r="K113" s="38"/>
    </row>
    <row r="114" spans="1:11" ht="15.75" customHeight="1">
      <c r="A114" s="39"/>
      <c r="B114" s="40"/>
      <c r="H114" s="38"/>
      <c r="K114" s="38"/>
    </row>
    <row r="115" spans="1:11" ht="15.75" customHeight="1">
      <c r="A115" s="39"/>
      <c r="B115" s="40"/>
      <c r="H115" s="38"/>
      <c r="K115" s="38"/>
    </row>
    <row r="116" spans="1:11" ht="15.75" customHeight="1">
      <c r="A116" s="39"/>
      <c r="B116" s="40"/>
      <c r="H116" s="38"/>
      <c r="K116" s="38"/>
    </row>
    <row r="117" spans="1:11" ht="15.75" customHeight="1">
      <c r="A117" s="39"/>
      <c r="B117" s="40"/>
      <c r="H117" s="38"/>
      <c r="K117" s="38"/>
    </row>
    <row r="118" spans="1:11" ht="15.75" customHeight="1">
      <c r="A118" s="39"/>
      <c r="B118" s="40"/>
      <c r="H118" s="38"/>
      <c r="K118" s="38"/>
    </row>
    <row r="119" spans="1:11" ht="15.75" customHeight="1">
      <c r="A119" s="39"/>
      <c r="B119" s="40"/>
      <c r="H119" s="38"/>
      <c r="K119" s="38"/>
    </row>
    <row r="120" spans="1:11" ht="15.75" customHeight="1">
      <c r="A120" s="39"/>
      <c r="B120" s="40"/>
      <c r="H120" s="38"/>
      <c r="K120" s="38"/>
    </row>
    <row r="121" spans="1:11" ht="15.75" customHeight="1">
      <c r="A121" s="39"/>
      <c r="B121" s="40"/>
      <c r="H121" s="38"/>
      <c r="K121" s="38"/>
    </row>
    <row r="122" spans="1:11" ht="15.75" customHeight="1">
      <c r="A122" s="39"/>
      <c r="B122" s="40"/>
      <c r="H122" s="38"/>
      <c r="K122" s="38"/>
    </row>
    <row r="123" spans="1:11" ht="15.75" customHeight="1">
      <c r="A123" s="39"/>
      <c r="B123" s="40"/>
      <c r="H123" s="38"/>
      <c r="K123" s="38"/>
    </row>
    <row r="124" spans="1:11" ht="15.75" customHeight="1">
      <c r="A124" s="39"/>
      <c r="B124" s="40"/>
      <c r="H124" s="38"/>
      <c r="K124" s="38"/>
    </row>
    <row r="125" spans="1:11" ht="15.75" customHeight="1">
      <c r="A125" s="39"/>
      <c r="B125" s="40"/>
      <c r="H125" s="38"/>
      <c r="K125" s="38"/>
    </row>
    <row r="126" spans="1:11" ht="15.75" customHeight="1">
      <c r="A126" s="39"/>
      <c r="B126" s="40"/>
      <c r="H126" s="38"/>
      <c r="K126" s="38"/>
    </row>
    <row r="127" spans="1:11" ht="15.75" customHeight="1">
      <c r="A127" s="39"/>
      <c r="B127" s="40"/>
      <c r="H127" s="38"/>
      <c r="K127" s="38"/>
    </row>
    <row r="128" spans="1:11" ht="15.75" customHeight="1">
      <c r="A128" s="39"/>
      <c r="B128" s="40"/>
      <c r="H128" s="38"/>
      <c r="K128" s="38"/>
    </row>
    <row r="129" spans="1:11" ht="15.75" customHeight="1">
      <c r="A129" s="39"/>
      <c r="B129" s="40"/>
      <c r="H129" s="38"/>
      <c r="K129" s="38"/>
    </row>
    <row r="130" spans="1:11" ht="15.75" customHeight="1">
      <c r="A130" s="39"/>
      <c r="B130" s="40"/>
      <c r="H130" s="38"/>
      <c r="K130" s="38"/>
    </row>
    <row r="131" spans="1:11" ht="15.75" customHeight="1">
      <c r="A131" s="39"/>
      <c r="B131" s="40"/>
      <c r="H131" s="38"/>
      <c r="K131" s="38"/>
    </row>
    <row r="132" spans="1:11" ht="15.75" customHeight="1">
      <c r="A132" s="39"/>
      <c r="B132" s="40"/>
      <c r="H132" s="38"/>
      <c r="K132" s="38"/>
    </row>
    <row r="133" spans="1:11" ht="15.75" customHeight="1">
      <c r="A133" s="39"/>
      <c r="B133" s="40"/>
      <c r="H133" s="38"/>
      <c r="K133" s="38"/>
    </row>
    <row r="134" spans="1:11" ht="15.75" customHeight="1">
      <c r="A134" s="39"/>
      <c r="B134" s="40"/>
      <c r="H134" s="38"/>
      <c r="K134" s="38"/>
    </row>
    <row r="135" spans="1:11" ht="15.75" customHeight="1">
      <c r="A135" s="39"/>
      <c r="B135" s="40"/>
      <c r="H135" s="38"/>
      <c r="K135" s="38"/>
    </row>
    <row r="136" spans="1:11" ht="15.75" customHeight="1">
      <c r="A136" s="39"/>
      <c r="B136" s="40"/>
      <c r="H136" s="38"/>
      <c r="K136" s="38"/>
    </row>
    <row r="137" spans="1:11" ht="15.75" customHeight="1">
      <c r="A137" s="39"/>
      <c r="B137" s="40"/>
      <c r="H137" s="38"/>
      <c r="K137" s="38"/>
    </row>
    <row r="138" spans="1:11" ht="15.75" customHeight="1">
      <c r="A138" s="39"/>
      <c r="B138" s="40"/>
      <c r="H138" s="38"/>
      <c r="K138" s="38"/>
    </row>
    <row r="139" spans="1:11" ht="15.75" customHeight="1">
      <c r="A139" s="39"/>
      <c r="B139" s="40"/>
      <c r="H139" s="38"/>
      <c r="K139" s="38"/>
    </row>
    <row r="140" spans="1:11" ht="15.75" customHeight="1">
      <c r="A140" s="39"/>
      <c r="B140" s="40"/>
      <c r="H140" s="38"/>
      <c r="K140" s="38"/>
    </row>
    <row r="141" spans="1:11" ht="15.75" customHeight="1">
      <c r="A141" s="39"/>
      <c r="B141" s="40"/>
      <c r="H141" s="38"/>
      <c r="K141" s="38"/>
    </row>
    <row r="142" spans="1:11" ht="15.75" customHeight="1">
      <c r="A142" s="39"/>
      <c r="B142" s="40"/>
      <c r="H142" s="38"/>
      <c r="K142" s="38"/>
    </row>
    <row r="143" spans="1:11" ht="15.75" customHeight="1">
      <c r="A143" s="39"/>
      <c r="B143" s="40"/>
      <c r="H143" s="38"/>
      <c r="K143" s="38"/>
    </row>
    <row r="144" spans="1:11" ht="15.75" customHeight="1">
      <c r="A144" s="39"/>
      <c r="B144" s="40"/>
      <c r="H144" s="38"/>
      <c r="K144" s="38"/>
    </row>
    <row r="145" spans="1:11" ht="15.75" customHeight="1">
      <c r="A145" s="39"/>
      <c r="B145" s="40"/>
      <c r="H145" s="38"/>
      <c r="K145" s="38"/>
    </row>
    <row r="146" spans="1:11" ht="15.75" customHeight="1">
      <c r="A146" s="39"/>
      <c r="B146" s="40"/>
      <c r="H146" s="38"/>
      <c r="K146" s="38"/>
    </row>
    <row r="147" spans="1:11" ht="15.75" customHeight="1">
      <c r="A147" s="39"/>
      <c r="B147" s="40"/>
      <c r="H147" s="38"/>
      <c r="K147" s="38"/>
    </row>
    <row r="148" spans="1:11" ht="15.75" customHeight="1">
      <c r="A148" s="39"/>
      <c r="B148" s="40"/>
      <c r="H148" s="38"/>
      <c r="K148" s="38"/>
    </row>
    <row r="149" spans="1:11" ht="15.75" customHeight="1">
      <c r="A149" s="39"/>
      <c r="B149" s="40"/>
      <c r="H149" s="38"/>
      <c r="K149" s="38"/>
    </row>
    <row r="150" spans="1:11" ht="15.75" customHeight="1">
      <c r="A150" s="39"/>
      <c r="B150" s="40"/>
      <c r="H150" s="38"/>
      <c r="K150" s="38"/>
    </row>
    <row r="151" spans="1:11" ht="15.75" customHeight="1">
      <c r="A151" s="39"/>
      <c r="B151" s="40"/>
      <c r="H151" s="38"/>
      <c r="K151" s="38"/>
    </row>
    <row r="152" spans="1:11" ht="15.75" customHeight="1">
      <c r="A152" s="39"/>
      <c r="B152" s="40"/>
      <c r="H152" s="38"/>
      <c r="K152" s="38"/>
    </row>
    <row r="153" spans="1:11" ht="15.75" customHeight="1">
      <c r="A153" s="39"/>
      <c r="B153" s="40"/>
      <c r="H153" s="38"/>
      <c r="K153" s="38"/>
    </row>
    <row r="154" spans="1:11" ht="15.75" customHeight="1">
      <c r="A154" s="39"/>
      <c r="B154" s="40"/>
      <c r="H154" s="38"/>
      <c r="K154" s="38"/>
    </row>
    <row r="155" spans="1:11" ht="15.75" customHeight="1">
      <c r="A155" s="39"/>
      <c r="B155" s="40"/>
      <c r="H155" s="38"/>
      <c r="K155" s="38"/>
    </row>
    <row r="156" spans="1:11" ht="15.75" customHeight="1">
      <c r="A156" s="39"/>
      <c r="B156" s="40"/>
      <c r="H156" s="38"/>
      <c r="K156" s="38"/>
    </row>
    <row r="157" spans="1:11" ht="15.75" customHeight="1">
      <c r="A157" s="39"/>
      <c r="B157" s="40"/>
      <c r="H157" s="38"/>
      <c r="K157" s="38"/>
    </row>
    <row r="158" spans="1:11" ht="15.75" customHeight="1">
      <c r="A158" s="39"/>
      <c r="B158" s="40"/>
      <c r="H158" s="38"/>
      <c r="K158" s="38"/>
    </row>
    <row r="159" spans="1:11" ht="15.75" customHeight="1">
      <c r="A159" s="39"/>
      <c r="B159" s="40"/>
      <c r="H159" s="38"/>
      <c r="K159" s="38"/>
    </row>
    <row r="160" spans="1:11" ht="15.75" customHeight="1">
      <c r="A160" s="39"/>
      <c r="B160" s="40"/>
      <c r="H160" s="38"/>
      <c r="K160" s="38"/>
    </row>
    <row r="161" spans="1:11" ht="15.75" customHeight="1">
      <c r="A161" s="39"/>
      <c r="B161" s="40"/>
      <c r="H161" s="38"/>
      <c r="K161" s="38"/>
    </row>
    <row r="162" spans="1:11" ht="15.75" customHeight="1">
      <c r="A162" s="39"/>
      <c r="B162" s="40"/>
      <c r="H162" s="38"/>
      <c r="K162" s="38"/>
    </row>
    <row r="163" spans="1:11" ht="15.75" customHeight="1">
      <c r="A163" s="39"/>
      <c r="B163" s="40"/>
      <c r="H163" s="38"/>
      <c r="K163" s="38"/>
    </row>
    <row r="164" spans="1:11" ht="15.75" customHeight="1">
      <c r="A164" s="39"/>
      <c r="B164" s="40"/>
      <c r="H164" s="38"/>
      <c r="K164" s="38"/>
    </row>
    <row r="165" spans="1:11" ht="15.75" customHeight="1">
      <c r="A165" s="39"/>
      <c r="B165" s="40"/>
      <c r="H165" s="38"/>
      <c r="K165" s="38"/>
    </row>
    <row r="166" spans="1:11" ht="15.75" customHeight="1">
      <c r="A166" s="39"/>
      <c r="B166" s="40"/>
      <c r="H166" s="38"/>
      <c r="K166" s="38"/>
    </row>
    <row r="167" spans="1:11" ht="15.75" customHeight="1">
      <c r="A167" s="39"/>
      <c r="B167" s="40"/>
      <c r="H167" s="38"/>
      <c r="K167" s="38"/>
    </row>
    <row r="168" spans="1:11" ht="15.75" customHeight="1">
      <c r="A168" s="39"/>
      <c r="B168" s="40"/>
      <c r="H168" s="38"/>
      <c r="K168" s="38"/>
    </row>
    <row r="169" spans="1:11" ht="15.75" customHeight="1">
      <c r="A169" s="39"/>
      <c r="B169" s="40"/>
      <c r="H169" s="38"/>
      <c r="K169" s="38"/>
    </row>
    <row r="170" spans="1:11" ht="15.75" customHeight="1">
      <c r="A170" s="39"/>
      <c r="B170" s="40"/>
      <c r="H170" s="38"/>
      <c r="K170" s="38"/>
    </row>
    <row r="171" spans="1:11" ht="15.75" customHeight="1">
      <c r="A171" s="39"/>
      <c r="B171" s="40"/>
      <c r="H171" s="38"/>
      <c r="K171" s="38"/>
    </row>
    <row r="172" spans="1:11" ht="15.75" customHeight="1">
      <c r="A172" s="39"/>
      <c r="B172" s="40"/>
      <c r="H172" s="38"/>
      <c r="K172" s="38"/>
    </row>
    <row r="173" spans="1:11" ht="15.75" customHeight="1">
      <c r="A173" s="39"/>
      <c r="B173" s="40"/>
      <c r="H173" s="38"/>
      <c r="K173" s="38"/>
    </row>
    <row r="174" spans="1:11" ht="15.75" customHeight="1">
      <c r="A174" s="39"/>
      <c r="B174" s="40"/>
      <c r="H174" s="38"/>
      <c r="K174" s="38"/>
    </row>
    <row r="175" spans="1:11" ht="15.75" customHeight="1">
      <c r="A175" s="39"/>
      <c r="B175" s="40"/>
      <c r="H175" s="38"/>
      <c r="K175" s="38"/>
    </row>
    <row r="176" spans="1:11" ht="15.75" customHeight="1">
      <c r="A176" s="39"/>
      <c r="B176" s="40"/>
      <c r="H176" s="38"/>
      <c r="K176" s="38"/>
    </row>
    <row r="177" spans="1:11" ht="15.75" customHeight="1">
      <c r="A177" s="39"/>
      <c r="B177" s="40"/>
      <c r="H177" s="38"/>
      <c r="K177" s="38"/>
    </row>
    <row r="178" spans="1:11" ht="15.75" customHeight="1">
      <c r="A178" s="39"/>
      <c r="B178" s="40"/>
      <c r="H178" s="38"/>
      <c r="K178" s="38"/>
    </row>
    <row r="179" spans="1:11" ht="15.75" customHeight="1">
      <c r="A179" s="39"/>
      <c r="B179" s="40"/>
      <c r="H179" s="38"/>
      <c r="K179" s="38"/>
    </row>
    <row r="180" spans="1:11" ht="15.75" customHeight="1">
      <c r="A180" s="39"/>
      <c r="B180" s="40"/>
      <c r="H180" s="38"/>
      <c r="K180" s="38"/>
    </row>
    <row r="181" spans="1:11" ht="15.75" customHeight="1">
      <c r="A181" s="39"/>
      <c r="B181" s="40"/>
      <c r="H181" s="38"/>
      <c r="K181" s="38"/>
    </row>
    <row r="182" spans="1:11" ht="15.75" customHeight="1">
      <c r="A182" s="39"/>
      <c r="B182" s="40"/>
      <c r="H182" s="38"/>
      <c r="K182" s="38"/>
    </row>
    <row r="183" spans="1:11" ht="15.75" customHeight="1">
      <c r="A183" s="39"/>
      <c r="B183" s="40"/>
      <c r="H183" s="38"/>
      <c r="K183" s="38"/>
    </row>
    <row r="184" spans="1:11" ht="15.75" customHeight="1">
      <c r="A184" s="39"/>
      <c r="B184" s="40"/>
      <c r="H184" s="38"/>
      <c r="K184" s="38"/>
    </row>
    <row r="185" spans="1:11" ht="15.75" customHeight="1">
      <c r="A185" s="39"/>
      <c r="B185" s="40"/>
      <c r="H185" s="38"/>
      <c r="K185" s="38"/>
    </row>
    <row r="186" spans="1:11" ht="15.75" customHeight="1">
      <c r="A186" s="39"/>
      <c r="B186" s="40"/>
      <c r="H186" s="38"/>
      <c r="K186" s="38"/>
    </row>
    <row r="187" spans="1:11" ht="15.75" customHeight="1">
      <c r="A187" s="39"/>
      <c r="B187" s="40"/>
      <c r="H187" s="38"/>
      <c r="K187" s="38"/>
    </row>
    <row r="188" spans="1:11" ht="15.75" customHeight="1">
      <c r="A188" s="39"/>
      <c r="B188" s="40"/>
      <c r="H188" s="38"/>
      <c r="K188" s="38"/>
    </row>
    <row r="189" spans="1:11" ht="15.75" customHeight="1">
      <c r="A189" s="39"/>
      <c r="B189" s="40"/>
      <c r="H189" s="38"/>
      <c r="K189" s="38"/>
    </row>
    <row r="190" spans="1:11" ht="15.75" customHeight="1">
      <c r="A190" s="39"/>
      <c r="B190" s="40"/>
      <c r="H190" s="38"/>
      <c r="K190" s="38"/>
    </row>
    <row r="191" spans="1:11" ht="15.75" customHeight="1">
      <c r="A191" s="39"/>
      <c r="B191" s="40"/>
      <c r="H191" s="38"/>
      <c r="K191" s="38"/>
    </row>
    <row r="192" spans="1:11" ht="15.75" customHeight="1">
      <c r="A192" s="39"/>
      <c r="B192" s="40"/>
      <c r="H192" s="38"/>
      <c r="K192" s="38"/>
    </row>
    <row r="193" spans="1:11" ht="15.75" customHeight="1">
      <c r="A193" s="39"/>
      <c r="B193" s="40"/>
      <c r="H193" s="38"/>
      <c r="K193" s="38"/>
    </row>
    <row r="194" spans="1:11" ht="15.75" customHeight="1">
      <c r="A194" s="39"/>
      <c r="B194" s="40"/>
      <c r="H194" s="38"/>
      <c r="K194" s="38"/>
    </row>
    <row r="195" spans="1:11" ht="15.75" customHeight="1">
      <c r="A195" s="39"/>
      <c r="B195" s="40"/>
      <c r="H195" s="38"/>
      <c r="K195" s="38"/>
    </row>
    <row r="196" spans="1:11" ht="15.75" customHeight="1">
      <c r="A196" s="39"/>
      <c r="B196" s="40"/>
      <c r="H196" s="38"/>
      <c r="K196" s="38"/>
    </row>
    <row r="197" spans="1:11" ht="15.75" customHeight="1">
      <c r="A197" s="39"/>
      <c r="B197" s="40"/>
      <c r="H197" s="38"/>
      <c r="K197" s="38"/>
    </row>
    <row r="198" spans="1:11" ht="15.75" customHeight="1">
      <c r="A198" s="39"/>
      <c r="B198" s="40"/>
      <c r="H198" s="38"/>
      <c r="K198" s="38"/>
    </row>
    <row r="199" spans="1:11" ht="15.75" customHeight="1">
      <c r="A199" s="39"/>
      <c r="B199" s="40"/>
      <c r="H199" s="38"/>
      <c r="K199" s="38"/>
    </row>
    <row r="200" spans="1:11" ht="15.75" customHeight="1">
      <c r="A200" s="39"/>
      <c r="B200" s="40"/>
      <c r="H200" s="38"/>
      <c r="K200" s="38"/>
    </row>
    <row r="201" spans="1:11" ht="15.75" customHeight="1">
      <c r="A201" s="39"/>
      <c r="B201" s="40"/>
      <c r="H201" s="38"/>
      <c r="K201" s="38"/>
    </row>
    <row r="202" spans="1:11" ht="15.75" customHeight="1">
      <c r="A202" s="39"/>
      <c r="B202" s="40"/>
      <c r="H202" s="38"/>
      <c r="K202" s="38"/>
    </row>
    <row r="203" spans="1:11" ht="15.75" customHeight="1">
      <c r="A203" s="39"/>
      <c r="B203" s="40"/>
      <c r="H203" s="38"/>
      <c r="K203" s="38"/>
    </row>
    <row r="204" spans="1:11" ht="15.75" customHeight="1">
      <c r="A204" s="39"/>
      <c r="B204" s="40"/>
      <c r="H204" s="38"/>
      <c r="K204" s="38"/>
    </row>
    <row r="205" spans="1:11" ht="15.75" customHeight="1">
      <c r="A205" s="39"/>
      <c r="B205" s="40"/>
      <c r="H205" s="38"/>
      <c r="K205" s="38"/>
    </row>
    <row r="206" spans="1:11" ht="15.75" customHeight="1">
      <c r="A206" s="39"/>
      <c r="B206" s="40"/>
      <c r="H206" s="38"/>
      <c r="K206" s="38"/>
    </row>
    <row r="207" spans="1:11" ht="15.75" customHeight="1">
      <c r="A207" s="39"/>
      <c r="B207" s="40"/>
      <c r="H207" s="38"/>
      <c r="K207" s="38"/>
    </row>
    <row r="208" spans="1:11" ht="15.75" customHeight="1">
      <c r="A208" s="39"/>
      <c r="B208" s="40"/>
      <c r="H208" s="38"/>
      <c r="K208" s="38"/>
    </row>
    <row r="209" spans="1:11" ht="15.75" customHeight="1">
      <c r="A209" s="39"/>
      <c r="B209" s="40"/>
      <c r="H209" s="38"/>
      <c r="K209" s="38"/>
    </row>
    <row r="210" spans="1:11" ht="15.75" customHeight="1">
      <c r="A210" s="39"/>
      <c r="B210" s="40"/>
      <c r="H210" s="38"/>
      <c r="K210" s="38"/>
    </row>
    <row r="211" spans="1:11" ht="15.75" customHeight="1">
      <c r="A211" s="39"/>
      <c r="B211" s="40"/>
      <c r="H211" s="38"/>
      <c r="K211" s="38"/>
    </row>
    <row r="212" spans="1:11" ht="15.75" customHeight="1">
      <c r="A212" s="39"/>
      <c r="B212" s="40"/>
      <c r="H212" s="38"/>
      <c r="K212" s="38"/>
    </row>
    <row r="213" spans="1:11" ht="15.75" customHeight="1">
      <c r="A213" s="39"/>
      <c r="B213" s="40"/>
      <c r="H213" s="38"/>
      <c r="K213" s="38"/>
    </row>
    <row r="214" spans="1:11" ht="15.75" customHeight="1">
      <c r="A214" s="39"/>
      <c r="B214" s="40"/>
      <c r="H214" s="38"/>
      <c r="K214" s="38"/>
    </row>
    <row r="215" spans="1:11" ht="15.75" customHeight="1">
      <c r="A215" s="39"/>
      <c r="B215" s="40"/>
      <c r="H215" s="38"/>
      <c r="K215" s="38"/>
    </row>
    <row r="216" spans="1:11" ht="15.75" customHeight="1">
      <c r="A216" s="39"/>
      <c r="B216" s="40"/>
      <c r="H216" s="38"/>
      <c r="K216" s="38"/>
    </row>
    <row r="217" spans="1:11" ht="15.75" customHeight="1">
      <c r="A217" s="39"/>
      <c r="B217" s="40"/>
      <c r="H217" s="38"/>
      <c r="K217" s="38"/>
    </row>
    <row r="218" spans="1:11" ht="15.75" customHeight="1">
      <c r="A218" s="39"/>
      <c r="B218" s="40"/>
      <c r="H218" s="38"/>
      <c r="K218" s="38"/>
    </row>
    <row r="219" spans="1:11" ht="15.75" customHeight="1">
      <c r="A219" s="39"/>
      <c r="B219" s="40"/>
      <c r="H219" s="38"/>
      <c r="K219" s="38"/>
    </row>
    <row r="220" spans="1:11" ht="15.75" customHeight="1">
      <c r="A220" s="39"/>
      <c r="B220" s="40"/>
      <c r="H220" s="38"/>
      <c r="K220" s="38"/>
    </row>
    <row r="221" spans="1:11" ht="15.75" customHeight="1">
      <c r="A221" s="39"/>
      <c r="B221" s="40"/>
      <c r="H221" s="38"/>
      <c r="K221" s="38"/>
    </row>
    <row r="222" spans="1:11" ht="15.75" customHeight="1">
      <c r="A222" s="39"/>
      <c r="B222" s="40"/>
      <c r="H222" s="38"/>
      <c r="K222" s="38"/>
    </row>
    <row r="223" spans="1:11" ht="15.75" customHeight="1">
      <c r="A223" s="39"/>
      <c r="B223" s="40"/>
      <c r="H223" s="38"/>
      <c r="K223" s="38"/>
    </row>
    <row r="224" spans="1:11" ht="15.75" customHeight="1">
      <c r="A224" s="39"/>
      <c r="B224" s="40"/>
      <c r="H224" s="38"/>
      <c r="K224" s="38"/>
    </row>
    <row r="225" spans="1:11" ht="15.75" customHeight="1">
      <c r="A225" s="39"/>
      <c r="B225" s="40"/>
      <c r="H225" s="38"/>
      <c r="K225" s="38"/>
    </row>
    <row r="226" spans="1:11" ht="15.75" customHeight="1">
      <c r="A226" s="39"/>
      <c r="B226" s="40"/>
      <c r="H226" s="38"/>
      <c r="K226" s="38"/>
    </row>
    <row r="227" spans="1:11" ht="15.75" customHeight="1">
      <c r="A227" s="39"/>
      <c r="B227" s="40"/>
      <c r="H227" s="38"/>
      <c r="K227" s="38"/>
    </row>
    <row r="228" spans="1:11" ht="15.75" customHeight="1">
      <c r="A228" s="39"/>
      <c r="B228" s="40"/>
      <c r="H228" s="38"/>
      <c r="K228" s="38"/>
    </row>
    <row r="229" spans="1:11" ht="15.75" customHeight="1">
      <c r="A229" s="39"/>
      <c r="B229" s="40"/>
      <c r="H229" s="38"/>
      <c r="K229" s="38"/>
    </row>
    <row r="230" spans="1:11" ht="15.75" customHeight="1">
      <c r="A230" s="39"/>
      <c r="B230" s="40"/>
      <c r="H230" s="38"/>
      <c r="K230" s="38"/>
    </row>
    <row r="231" spans="1:11" ht="15.75" customHeight="1">
      <c r="A231" s="39"/>
      <c r="B231" s="40"/>
      <c r="H231" s="38"/>
      <c r="K231" s="38"/>
    </row>
    <row r="232" spans="1:11" ht="15.75" customHeight="1">
      <c r="A232" s="39"/>
      <c r="B232" s="40"/>
      <c r="H232" s="38"/>
      <c r="K232" s="38"/>
    </row>
    <row r="233" spans="1:11" ht="15.75" customHeight="1">
      <c r="A233" s="39"/>
      <c r="B233" s="40"/>
      <c r="H233" s="38"/>
      <c r="K233" s="38"/>
    </row>
    <row r="234" spans="1:11" ht="15.75" customHeight="1">
      <c r="A234" s="39"/>
      <c r="B234" s="40"/>
      <c r="H234" s="38"/>
      <c r="K234" s="38"/>
    </row>
    <row r="235" spans="1:11" ht="15.75" customHeight="1">
      <c r="A235" s="39"/>
      <c r="B235" s="40"/>
      <c r="H235" s="38"/>
      <c r="K235" s="38"/>
    </row>
    <row r="236" spans="1:11" ht="15.75" customHeight="1">
      <c r="A236" s="39"/>
      <c r="B236" s="40"/>
      <c r="H236" s="38"/>
      <c r="K236" s="38"/>
    </row>
    <row r="237" spans="1:11" ht="15.75" customHeight="1">
      <c r="A237" s="39"/>
      <c r="B237" s="40"/>
      <c r="H237" s="38"/>
      <c r="K237" s="38"/>
    </row>
    <row r="238" spans="1:11" ht="15.75" customHeight="1">
      <c r="A238" s="39"/>
      <c r="B238" s="40"/>
      <c r="H238" s="38"/>
      <c r="K238" s="38"/>
    </row>
    <row r="239" spans="1:11" ht="15.75" customHeight="1">
      <c r="A239" s="39"/>
      <c r="B239" s="40"/>
      <c r="H239" s="38"/>
      <c r="K239" s="38"/>
    </row>
    <row r="240" spans="1:11" ht="15.75" customHeight="1">
      <c r="A240" s="39"/>
      <c r="B240" s="40"/>
      <c r="H240" s="38"/>
      <c r="K240" s="38"/>
    </row>
    <row r="241" spans="1:11" ht="15.75" customHeight="1">
      <c r="A241" s="39"/>
      <c r="B241" s="40"/>
      <c r="H241" s="38"/>
      <c r="K241" s="38"/>
    </row>
    <row r="242" spans="1:11" ht="15.75" customHeight="1">
      <c r="A242" s="39"/>
      <c r="B242" s="40"/>
      <c r="H242" s="38"/>
      <c r="K242" s="38"/>
    </row>
    <row r="243" spans="1:11" ht="15.75" customHeight="1">
      <c r="A243" s="39"/>
      <c r="B243" s="40"/>
      <c r="H243" s="38"/>
      <c r="K243" s="38"/>
    </row>
    <row r="244" spans="1:11" ht="15.75" customHeight="1">
      <c r="A244" s="39"/>
      <c r="B244" s="40"/>
      <c r="H244" s="38"/>
      <c r="K244" s="38"/>
    </row>
    <row r="245" spans="1:11" ht="15.75" customHeight="1">
      <c r="A245" s="39"/>
      <c r="B245" s="40"/>
      <c r="H245" s="38"/>
      <c r="K245" s="38"/>
    </row>
    <row r="246" spans="1:11" ht="15.75" customHeight="1">
      <c r="A246" s="39"/>
      <c r="B246" s="40"/>
      <c r="H246" s="38"/>
      <c r="K246" s="38"/>
    </row>
    <row r="247" spans="1:11" ht="15.75" customHeight="1">
      <c r="A247" s="39"/>
      <c r="B247" s="40"/>
      <c r="H247" s="38"/>
      <c r="K247" s="38"/>
    </row>
    <row r="248" spans="1:11" ht="15.75" customHeight="1">
      <c r="A248" s="39"/>
      <c r="B248" s="40"/>
      <c r="H248" s="38"/>
      <c r="K248" s="38"/>
    </row>
    <row r="249" spans="1:11" ht="15.75" customHeight="1">
      <c r="A249" s="39"/>
      <c r="B249" s="40"/>
      <c r="H249" s="38"/>
      <c r="K249" s="38"/>
    </row>
    <row r="250" spans="1:11" ht="15.75" customHeight="1">
      <c r="A250" s="39"/>
      <c r="B250" s="40"/>
      <c r="H250" s="38"/>
      <c r="K250" s="38"/>
    </row>
    <row r="251" spans="1:11" ht="15.75" customHeight="1">
      <c r="A251" s="39"/>
      <c r="B251" s="40"/>
      <c r="H251" s="38"/>
      <c r="K251" s="38"/>
    </row>
    <row r="252" spans="1:11" ht="15.75" customHeight="1">
      <c r="A252" s="39"/>
      <c r="B252" s="40"/>
      <c r="H252" s="38"/>
      <c r="K252" s="38"/>
    </row>
    <row r="253" spans="1:11" ht="15.75" customHeight="1">
      <c r="A253" s="39"/>
      <c r="B253" s="40"/>
      <c r="H253" s="38"/>
      <c r="K253" s="38"/>
    </row>
    <row r="254" spans="1:11" ht="15.75" customHeight="1">
      <c r="A254" s="39"/>
      <c r="B254" s="40"/>
      <c r="H254" s="38"/>
      <c r="K254" s="38"/>
    </row>
    <row r="255" spans="1:11" ht="15.75" customHeight="1">
      <c r="A255" s="39"/>
      <c r="B255" s="40"/>
      <c r="H255" s="38"/>
      <c r="K255" s="38"/>
    </row>
    <row r="256" spans="1:11" ht="15.75" customHeight="1">
      <c r="A256" s="39"/>
      <c r="B256" s="40"/>
      <c r="H256" s="38"/>
      <c r="K256" s="38"/>
    </row>
    <row r="257" spans="1:11" ht="15.75" customHeight="1">
      <c r="A257" s="39"/>
      <c r="B257" s="40"/>
      <c r="H257" s="38"/>
      <c r="K257" s="38"/>
    </row>
    <row r="258" spans="1:11" ht="15.75" customHeight="1">
      <c r="A258" s="39"/>
      <c r="B258" s="40"/>
      <c r="H258" s="38"/>
      <c r="K258" s="38"/>
    </row>
    <row r="259" spans="1:11" ht="15.75" customHeight="1">
      <c r="A259" s="39"/>
      <c r="B259" s="40"/>
      <c r="H259" s="38"/>
      <c r="K259" s="38"/>
    </row>
    <row r="260" spans="1:11" ht="15.75" customHeight="1">
      <c r="A260" s="39"/>
      <c r="B260" s="40"/>
      <c r="H260" s="38"/>
      <c r="K260" s="38"/>
    </row>
    <row r="261" spans="1:11" ht="15.75" customHeight="1">
      <c r="A261" s="39"/>
      <c r="B261" s="40"/>
      <c r="H261" s="38"/>
      <c r="K261" s="38"/>
    </row>
    <row r="262" spans="1:11" ht="15.75" customHeight="1">
      <c r="A262" s="39"/>
      <c r="B262" s="40"/>
      <c r="H262" s="38"/>
      <c r="K262" s="38"/>
    </row>
    <row r="263" spans="1:11" ht="15.75" customHeight="1">
      <c r="A263" s="39"/>
      <c r="B263" s="40"/>
      <c r="H263" s="38"/>
      <c r="K263" s="38"/>
    </row>
    <row r="264" spans="1:11" ht="15.75" customHeight="1">
      <c r="A264" s="39"/>
      <c r="B264" s="40"/>
      <c r="H264" s="38"/>
      <c r="K264" s="38"/>
    </row>
    <row r="265" spans="1:11" ht="15.75" customHeight="1">
      <c r="A265" s="39"/>
      <c r="B265" s="40"/>
      <c r="H265" s="38"/>
      <c r="K265" s="38"/>
    </row>
    <row r="266" spans="1:11" ht="15.75" customHeight="1">
      <c r="A266" s="39"/>
      <c r="B266" s="40"/>
      <c r="H266" s="38"/>
      <c r="K266" s="38"/>
    </row>
    <row r="267" spans="1:11" ht="15.75" customHeight="1">
      <c r="A267" s="39"/>
      <c r="B267" s="40"/>
      <c r="H267" s="38"/>
      <c r="K267" s="38"/>
    </row>
    <row r="268" spans="1:11" ht="15.75" customHeight="1">
      <c r="A268" s="39"/>
      <c r="B268" s="40"/>
      <c r="H268" s="38"/>
      <c r="K268" s="38"/>
    </row>
    <row r="269" spans="1:11" ht="15.75" customHeight="1">
      <c r="A269" s="39"/>
      <c r="B269" s="40"/>
      <c r="H269" s="38"/>
      <c r="K269" s="38"/>
    </row>
    <row r="270" spans="1:11" ht="15.75" customHeight="1">
      <c r="A270" s="39"/>
      <c r="B270" s="40"/>
      <c r="H270" s="38"/>
      <c r="K270" s="38"/>
    </row>
    <row r="271" spans="1:11" ht="15.75" customHeight="1">
      <c r="A271" s="39"/>
      <c r="B271" s="40"/>
      <c r="H271" s="38"/>
      <c r="K271" s="38"/>
    </row>
    <row r="272" spans="1:11" ht="15.75" customHeight="1">
      <c r="A272" s="39"/>
      <c r="B272" s="40"/>
      <c r="H272" s="38"/>
      <c r="K272" s="38"/>
    </row>
    <row r="273" spans="1:11" ht="15.75" customHeight="1">
      <c r="A273" s="39"/>
      <c r="B273" s="40"/>
      <c r="H273" s="38"/>
      <c r="K273" s="38"/>
    </row>
    <row r="274" spans="1:11" ht="15.75" customHeight="1">
      <c r="A274" s="39"/>
      <c r="B274" s="40"/>
      <c r="H274" s="38"/>
      <c r="K274" s="38"/>
    </row>
    <row r="275" spans="1:11" ht="15.75" customHeight="1">
      <c r="A275" s="39"/>
      <c r="B275" s="40"/>
      <c r="H275" s="38"/>
      <c r="K275" s="38"/>
    </row>
    <row r="276" spans="1:11" ht="15.75" customHeight="1">
      <c r="A276" s="39"/>
      <c r="B276" s="40"/>
      <c r="H276" s="38"/>
      <c r="K276" s="38"/>
    </row>
    <row r="277" spans="1:11" ht="15.75" customHeight="1">
      <c r="A277" s="39"/>
      <c r="B277" s="40"/>
      <c r="H277" s="38"/>
      <c r="K277" s="38"/>
    </row>
    <row r="278" spans="1:11" ht="15.75" customHeight="1">
      <c r="A278" s="39"/>
      <c r="B278" s="40"/>
      <c r="H278" s="38"/>
      <c r="K278" s="38"/>
    </row>
    <row r="279" spans="1:11" ht="15.75" customHeight="1">
      <c r="A279" s="39"/>
      <c r="B279" s="40"/>
      <c r="H279" s="38"/>
      <c r="K279" s="38"/>
    </row>
    <row r="280" spans="1:11" ht="15.75" customHeight="1">
      <c r="A280" s="39"/>
      <c r="B280" s="40"/>
      <c r="H280" s="38"/>
      <c r="K280" s="38"/>
    </row>
    <row r="281" spans="1:11" ht="15.75" customHeight="1">
      <c r="A281" s="39"/>
      <c r="B281" s="40"/>
      <c r="H281" s="38"/>
      <c r="K281" s="38"/>
    </row>
    <row r="282" spans="1:11" ht="15.75" customHeight="1">
      <c r="A282" s="39"/>
      <c r="B282" s="40"/>
      <c r="H282" s="38"/>
      <c r="K282" s="38"/>
    </row>
    <row r="283" spans="1:11" ht="15.75" customHeight="1">
      <c r="A283" s="39"/>
      <c r="B283" s="40"/>
      <c r="H283" s="38"/>
      <c r="K283" s="38"/>
    </row>
    <row r="284" spans="1:11" ht="15.75" customHeight="1">
      <c r="A284" s="39"/>
      <c r="B284" s="40"/>
      <c r="H284" s="38"/>
      <c r="K284" s="38"/>
    </row>
    <row r="285" spans="1:11" ht="15.75" customHeight="1">
      <c r="A285" s="39"/>
      <c r="B285" s="40"/>
      <c r="H285" s="38"/>
      <c r="K285" s="38"/>
    </row>
    <row r="286" spans="1:11" ht="15.75" customHeight="1">
      <c r="A286" s="39"/>
      <c r="B286" s="40"/>
      <c r="H286" s="38"/>
      <c r="K286" s="38"/>
    </row>
    <row r="287" spans="1:11" ht="15.75" customHeight="1">
      <c r="A287" s="39"/>
      <c r="B287" s="40"/>
      <c r="H287" s="38"/>
      <c r="K287" s="38"/>
    </row>
    <row r="288" spans="1:11" ht="15.75" customHeight="1">
      <c r="A288" s="39"/>
      <c r="B288" s="40"/>
      <c r="H288" s="38"/>
      <c r="K288" s="38"/>
    </row>
    <row r="289" spans="1:11" ht="15.75" customHeight="1">
      <c r="A289" s="39"/>
      <c r="B289" s="40"/>
      <c r="H289" s="38"/>
      <c r="K289" s="38"/>
    </row>
    <row r="290" spans="1:11" ht="15.75" customHeight="1">
      <c r="A290" s="39"/>
      <c r="B290" s="40"/>
      <c r="H290" s="38"/>
      <c r="K290" s="38"/>
    </row>
    <row r="291" spans="1:11" ht="15.75" customHeight="1">
      <c r="A291" s="39"/>
      <c r="B291" s="40"/>
      <c r="H291" s="38"/>
      <c r="K291" s="38"/>
    </row>
    <row r="292" spans="1:11" ht="15.75" customHeight="1">
      <c r="A292" s="39"/>
      <c r="B292" s="40"/>
      <c r="H292" s="38"/>
      <c r="K292" s="38"/>
    </row>
    <row r="293" spans="1:11" ht="15.75" customHeight="1">
      <c r="A293" s="39"/>
      <c r="B293" s="40"/>
      <c r="H293" s="38"/>
      <c r="K293" s="38"/>
    </row>
    <row r="294" spans="1:11" ht="15.75" customHeight="1">
      <c r="A294" s="39"/>
      <c r="B294" s="40"/>
      <c r="H294" s="38"/>
      <c r="K294" s="38"/>
    </row>
    <row r="295" spans="1:11" ht="15.75" customHeight="1">
      <c r="A295" s="39"/>
      <c r="B295" s="40"/>
      <c r="H295" s="38"/>
      <c r="K295" s="38"/>
    </row>
    <row r="296" spans="1:11" ht="15.75" customHeight="1">
      <c r="A296" s="39"/>
      <c r="B296" s="40"/>
      <c r="H296" s="38"/>
      <c r="K296" s="38"/>
    </row>
    <row r="297" spans="1:11" ht="15.75" customHeight="1">
      <c r="A297" s="39"/>
      <c r="B297" s="40"/>
      <c r="H297" s="38"/>
      <c r="K297" s="38"/>
    </row>
    <row r="298" spans="1:11" ht="15.75" customHeight="1">
      <c r="A298" s="39"/>
      <c r="B298" s="40"/>
      <c r="H298" s="38"/>
      <c r="K298" s="38"/>
    </row>
    <row r="299" spans="1:11" ht="15.75" customHeight="1">
      <c r="A299" s="39"/>
      <c r="B299" s="40"/>
      <c r="H299" s="38"/>
      <c r="K299" s="38"/>
    </row>
    <row r="300" spans="1:11" ht="15.75" customHeight="1">
      <c r="A300" s="39"/>
      <c r="B300" s="40"/>
      <c r="H300" s="38"/>
      <c r="K300" s="38"/>
    </row>
    <row r="301" spans="1:11" ht="15.75" customHeight="1">
      <c r="A301" s="39"/>
      <c r="B301" s="40"/>
      <c r="H301" s="38"/>
      <c r="K301" s="38"/>
    </row>
    <row r="302" spans="1:11" ht="15.75" customHeight="1">
      <c r="A302" s="39"/>
      <c r="B302" s="40"/>
      <c r="H302" s="38"/>
      <c r="K302" s="38"/>
    </row>
    <row r="303" spans="1:11" ht="15.75" customHeight="1">
      <c r="A303" s="39"/>
      <c r="B303" s="40"/>
      <c r="H303" s="38"/>
      <c r="K303" s="38"/>
    </row>
    <row r="304" spans="1:11" ht="15.75" customHeight="1">
      <c r="A304" s="39"/>
      <c r="B304" s="40"/>
      <c r="H304" s="38"/>
      <c r="K304" s="38"/>
    </row>
    <row r="305" spans="1:11" ht="15.75" customHeight="1">
      <c r="A305" s="39"/>
      <c r="B305" s="40"/>
      <c r="H305" s="38"/>
      <c r="K305" s="38"/>
    </row>
    <row r="306" spans="1:11" ht="15.75" customHeight="1">
      <c r="A306" s="39"/>
      <c r="B306" s="40"/>
      <c r="H306" s="38"/>
      <c r="K306" s="38"/>
    </row>
    <row r="307" spans="1:11" ht="15.75" customHeight="1">
      <c r="A307" s="39"/>
      <c r="B307" s="40"/>
      <c r="H307" s="38"/>
      <c r="K307" s="38"/>
    </row>
    <row r="308" spans="1:11" ht="15.75" customHeight="1">
      <c r="A308" s="39"/>
      <c r="B308" s="40"/>
      <c r="H308" s="38"/>
      <c r="K308" s="38"/>
    </row>
    <row r="309" spans="1:11" ht="15.75" customHeight="1">
      <c r="A309" s="39"/>
      <c r="B309" s="40"/>
      <c r="H309" s="38"/>
      <c r="K309" s="38"/>
    </row>
    <row r="310" spans="1:11" ht="15.75" customHeight="1">
      <c r="A310" s="39"/>
      <c r="B310" s="40"/>
      <c r="H310" s="38"/>
      <c r="K310" s="38"/>
    </row>
    <row r="311" spans="1:11" ht="15.75" customHeight="1">
      <c r="A311" s="39"/>
      <c r="B311" s="40"/>
      <c r="H311" s="38"/>
      <c r="K311" s="38"/>
    </row>
    <row r="312" spans="1:11" ht="15.75" customHeight="1">
      <c r="A312" s="39"/>
      <c r="B312" s="40"/>
      <c r="H312" s="38"/>
      <c r="K312" s="38"/>
    </row>
    <row r="313" spans="1:11" ht="15.75" customHeight="1">
      <c r="A313" s="39"/>
      <c r="B313" s="40"/>
      <c r="H313" s="38"/>
      <c r="K313" s="38"/>
    </row>
    <row r="314" spans="1:11" ht="15.75" customHeight="1">
      <c r="A314" s="39"/>
      <c r="B314" s="40"/>
      <c r="H314" s="38"/>
      <c r="K314" s="38"/>
    </row>
    <row r="315" spans="1:11" ht="15.75" customHeight="1">
      <c r="A315" s="39"/>
      <c r="B315" s="40"/>
      <c r="H315" s="38"/>
      <c r="K315" s="38"/>
    </row>
    <row r="316" spans="1:11" ht="15.75" customHeight="1">
      <c r="A316" s="39"/>
      <c r="B316" s="40"/>
      <c r="H316" s="38"/>
      <c r="K316" s="38"/>
    </row>
    <row r="317" spans="1:11" ht="15.75" customHeight="1">
      <c r="A317" s="39"/>
      <c r="B317" s="40"/>
      <c r="H317" s="38"/>
      <c r="K317" s="38"/>
    </row>
    <row r="318" spans="1:11" ht="15.75" customHeight="1">
      <c r="A318" s="39"/>
      <c r="B318" s="40"/>
      <c r="H318" s="38"/>
      <c r="K318" s="38"/>
    </row>
    <row r="319" spans="1:11" ht="15.75" customHeight="1">
      <c r="A319" s="39"/>
      <c r="B319" s="40"/>
      <c r="H319" s="38"/>
      <c r="K319" s="38"/>
    </row>
    <row r="320" spans="1:11" ht="15.75" customHeight="1">
      <c r="A320" s="39"/>
      <c r="B320" s="40"/>
      <c r="H320" s="38"/>
      <c r="K320" s="38"/>
    </row>
    <row r="321" spans="1:11" ht="15.75" customHeight="1">
      <c r="A321" s="39"/>
      <c r="B321" s="40"/>
      <c r="H321" s="38"/>
      <c r="K321" s="38"/>
    </row>
    <row r="322" spans="1:11" ht="15.75" customHeight="1">
      <c r="A322" s="39"/>
      <c r="B322" s="40"/>
      <c r="H322" s="38"/>
      <c r="K322" s="38"/>
    </row>
    <row r="323" spans="1:11" ht="15.75" customHeight="1">
      <c r="A323" s="39"/>
      <c r="B323" s="40"/>
      <c r="H323" s="38"/>
      <c r="K323" s="38"/>
    </row>
    <row r="324" spans="1:11" ht="15.75" customHeight="1">
      <c r="A324" s="39"/>
      <c r="B324" s="40"/>
      <c r="H324" s="38"/>
      <c r="K324" s="38"/>
    </row>
    <row r="325" spans="1:11" ht="15.75" customHeight="1">
      <c r="A325" s="39"/>
      <c r="B325" s="40"/>
      <c r="H325" s="38"/>
      <c r="K325" s="38"/>
    </row>
    <row r="326" spans="1:11" ht="15.75" customHeight="1">
      <c r="A326" s="39"/>
      <c r="B326" s="40"/>
      <c r="H326" s="38"/>
      <c r="K326" s="38"/>
    </row>
    <row r="327" spans="1:11" ht="15.75" customHeight="1">
      <c r="A327" s="39"/>
      <c r="B327" s="40"/>
      <c r="H327" s="38"/>
      <c r="K327" s="38"/>
    </row>
    <row r="328" spans="1:11" ht="15.75" customHeight="1">
      <c r="A328" s="39"/>
      <c r="B328" s="40"/>
      <c r="H328" s="38"/>
      <c r="K328" s="38"/>
    </row>
    <row r="329" spans="1:11" ht="15.75" customHeight="1">
      <c r="A329" s="39"/>
      <c r="B329" s="40"/>
      <c r="H329" s="38"/>
      <c r="K329" s="38"/>
    </row>
    <row r="330" spans="1:11" ht="15.75" customHeight="1">
      <c r="A330" s="39"/>
      <c r="B330" s="40"/>
      <c r="H330" s="38"/>
      <c r="K330" s="38"/>
    </row>
    <row r="331" spans="1:11" ht="15.75" customHeight="1">
      <c r="A331" s="39"/>
      <c r="B331" s="40"/>
      <c r="H331" s="38"/>
      <c r="K331" s="38"/>
    </row>
    <row r="332" spans="1:11" ht="15.75" customHeight="1">
      <c r="A332" s="39"/>
      <c r="B332" s="40"/>
      <c r="H332" s="38"/>
      <c r="K332" s="38"/>
    </row>
    <row r="333" spans="1:11" ht="15.75" customHeight="1">
      <c r="A333" s="39"/>
      <c r="B333" s="40"/>
      <c r="H333" s="38"/>
      <c r="K333" s="38"/>
    </row>
    <row r="334" spans="1:11" ht="15.75" customHeight="1">
      <c r="A334" s="39"/>
      <c r="B334" s="40"/>
      <c r="H334" s="38"/>
      <c r="K334" s="38"/>
    </row>
    <row r="335" spans="1:11" ht="15.75" customHeight="1">
      <c r="A335" s="39"/>
      <c r="B335" s="40"/>
      <c r="H335" s="38"/>
      <c r="K335" s="38"/>
    </row>
    <row r="336" spans="1:11" ht="15.75" customHeight="1">
      <c r="A336" s="39"/>
      <c r="B336" s="40"/>
      <c r="H336" s="38"/>
      <c r="K336" s="38"/>
    </row>
    <row r="337" spans="1:11" ht="15.75" customHeight="1">
      <c r="A337" s="39"/>
      <c r="B337" s="40"/>
      <c r="H337" s="38"/>
      <c r="K337" s="38"/>
    </row>
    <row r="338" spans="1:11" ht="15.75" customHeight="1">
      <c r="A338" s="39"/>
      <c r="B338" s="40"/>
      <c r="H338" s="38"/>
      <c r="K338" s="38"/>
    </row>
    <row r="339" spans="1:11" ht="15.75" customHeight="1">
      <c r="A339" s="39"/>
      <c r="B339" s="40"/>
      <c r="H339" s="38"/>
      <c r="K339" s="38"/>
    </row>
    <row r="340" spans="1:11" ht="15.75" customHeight="1">
      <c r="A340" s="39"/>
      <c r="B340" s="40"/>
      <c r="H340" s="38"/>
      <c r="K340" s="38"/>
    </row>
    <row r="341" spans="1:11" ht="15.75" customHeight="1">
      <c r="A341" s="39"/>
      <c r="B341" s="40"/>
      <c r="H341" s="38"/>
      <c r="K341" s="38"/>
    </row>
    <row r="342" spans="1:11" ht="15.75" customHeight="1">
      <c r="A342" s="39"/>
      <c r="B342" s="40"/>
      <c r="H342" s="38"/>
      <c r="K342" s="38"/>
    </row>
    <row r="343" spans="1:11" ht="15.75" customHeight="1">
      <c r="A343" s="39"/>
      <c r="B343" s="40"/>
      <c r="H343" s="38"/>
      <c r="K343" s="38"/>
    </row>
    <row r="344" spans="1:11" ht="15.75" customHeight="1">
      <c r="A344" s="39"/>
      <c r="B344" s="40"/>
      <c r="H344" s="38"/>
      <c r="K344" s="38"/>
    </row>
    <row r="345" spans="1:11" ht="15.75" customHeight="1">
      <c r="A345" s="39"/>
      <c r="B345" s="40"/>
      <c r="H345" s="38"/>
      <c r="K345" s="38"/>
    </row>
    <row r="346" spans="1:11" ht="15.75" customHeight="1">
      <c r="A346" s="39"/>
      <c r="B346" s="40"/>
      <c r="H346" s="38"/>
      <c r="K346" s="38"/>
    </row>
    <row r="347" spans="1:11" ht="15.75" customHeight="1">
      <c r="A347" s="39"/>
      <c r="B347" s="40"/>
      <c r="H347" s="38"/>
      <c r="K347" s="38"/>
    </row>
    <row r="348" spans="1:11" ht="15.75" customHeight="1">
      <c r="A348" s="39"/>
      <c r="B348" s="40"/>
      <c r="H348" s="38"/>
      <c r="K348" s="38"/>
    </row>
    <row r="349" spans="1:11" ht="15.75" customHeight="1">
      <c r="A349" s="39"/>
      <c r="B349" s="40"/>
      <c r="H349" s="38"/>
      <c r="K349" s="38"/>
    </row>
    <row r="350" spans="1:11" ht="15.75" customHeight="1">
      <c r="A350" s="39"/>
      <c r="B350" s="40"/>
      <c r="H350" s="38"/>
      <c r="K350" s="38"/>
    </row>
    <row r="351" spans="1:11" ht="15.75" customHeight="1">
      <c r="A351" s="39"/>
      <c r="B351" s="40"/>
      <c r="H351" s="38"/>
      <c r="K351" s="38"/>
    </row>
    <row r="352" spans="1:11" ht="15.75" customHeight="1">
      <c r="A352" s="39"/>
      <c r="B352" s="40"/>
      <c r="H352" s="38"/>
      <c r="K352" s="38"/>
    </row>
    <row r="353" spans="1:11" ht="15.75" customHeight="1">
      <c r="A353" s="39"/>
      <c r="B353" s="40"/>
      <c r="H353" s="38"/>
      <c r="K353" s="38"/>
    </row>
    <row r="354" spans="1:11" ht="15.75" customHeight="1">
      <c r="A354" s="39"/>
      <c r="B354" s="40"/>
      <c r="H354" s="38"/>
      <c r="K354" s="38"/>
    </row>
    <row r="355" spans="1:11" ht="15.75" customHeight="1">
      <c r="A355" s="39"/>
      <c r="B355" s="40"/>
      <c r="H355" s="38"/>
      <c r="K355" s="38"/>
    </row>
    <row r="356" spans="1:11" ht="15.75" customHeight="1">
      <c r="A356" s="39"/>
      <c r="B356" s="40"/>
      <c r="H356" s="38"/>
      <c r="K356" s="38"/>
    </row>
    <row r="357" spans="1:11" ht="15.75" customHeight="1">
      <c r="A357" s="39"/>
      <c r="B357" s="40"/>
      <c r="H357" s="38"/>
      <c r="K357" s="38"/>
    </row>
    <row r="358" spans="1:11" ht="15.75" customHeight="1">
      <c r="A358" s="39"/>
      <c r="B358" s="40"/>
      <c r="H358" s="38"/>
      <c r="K358" s="38"/>
    </row>
    <row r="359" spans="1:11" ht="15.75" customHeight="1">
      <c r="A359" s="39"/>
      <c r="B359" s="40"/>
      <c r="H359" s="38"/>
      <c r="K359" s="38"/>
    </row>
    <row r="360" spans="1:11" ht="15.75" customHeight="1">
      <c r="A360" s="39"/>
      <c r="B360" s="40"/>
      <c r="H360" s="38"/>
      <c r="K360" s="38"/>
    </row>
    <row r="361" spans="1:11" ht="15.75" customHeight="1">
      <c r="A361" s="39"/>
      <c r="B361" s="40"/>
      <c r="H361" s="38"/>
      <c r="K361" s="38"/>
    </row>
    <row r="362" spans="1:11" ht="15.75" customHeight="1">
      <c r="A362" s="39"/>
      <c r="B362" s="40"/>
      <c r="H362" s="38"/>
      <c r="K362" s="38"/>
    </row>
    <row r="363" spans="1:11" ht="15.75" customHeight="1">
      <c r="A363" s="39"/>
      <c r="B363" s="40"/>
      <c r="H363" s="38"/>
      <c r="K363" s="38"/>
    </row>
    <row r="364" spans="1:11" ht="15.75" customHeight="1">
      <c r="A364" s="39"/>
      <c r="B364" s="40"/>
      <c r="H364" s="38"/>
      <c r="K364" s="38"/>
    </row>
    <row r="365" spans="1:11" ht="15.75" customHeight="1">
      <c r="A365" s="39"/>
      <c r="B365" s="40"/>
      <c r="H365" s="38"/>
      <c r="K365" s="38"/>
    </row>
    <row r="366" spans="1:11" ht="15.75" customHeight="1">
      <c r="A366" s="39"/>
      <c r="B366" s="40"/>
      <c r="H366" s="38"/>
      <c r="K366" s="38"/>
    </row>
    <row r="367" spans="1:11" ht="15.75" customHeight="1">
      <c r="A367" s="39"/>
      <c r="B367" s="40"/>
      <c r="H367" s="38"/>
      <c r="K367" s="38"/>
    </row>
    <row r="368" spans="1:11" ht="15.75" customHeight="1">
      <c r="A368" s="39"/>
      <c r="B368" s="40"/>
      <c r="H368" s="38"/>
      <c r="K368" s="38"/>
    </row>
    <row r="369" spans="1:11" ht="15.75" customHeight="1">
      <c r="A369" s="39"/>
      <c r="B369" s="40"/>
      <c r="H369" s="38"/>
      <c r="K369" s="38"/>
    </row>
    <row r="370" spans="1:11" ht="15.75" customHeight="1">
      <c r="A370" s="39"/>
      <c r="B370" s="40"/>
      <c r="H370" s="38"/>
      <c r="K370" s="38"/>
    </row>
    <row r="371" spans="1:11" ht="15.75" customHeight="1">
      <c r="A371" s="39"/>
      <c r="B371" s="40"/>
      <c r="H371" s="38"/>
      <c r="K371" s="38"/>
    </row>
    <row r="372" spans="1:11" ht="15.75" customHeight="1">
      <c r="A372" s="39"/>
      <c r="B372" s="40"/>
      <c r="H372" s="38"/>
      <c r="K372" s="38"/>
    </row>
    <row r="373" spans="1:11" ht="15.75" customHeight="1">
      <c r="A373" s="39"/>
      <c r="B373" s="40"/>
      <c r="H373" s="38"/>
      <c r="K373" s="38"/>
    </row>
    <row r="374" spans="1:11" ht="15.75" customHeight="1">
      <c r="A374" s="39"/>
      <c r="B374" s="40"/>
      <c r="H374" s="38"/>
      <c r="K374" s="38"/>
    </row>
    <row r="375" spans="1:11" ht="15.75" customHeight="1">
      <c r="A375" s="39"/>
      <c r="B375" s="40"/>
      <c r="H375" s="38"/>
      <c r="K375" s="38"/>
    </row>
    <row r="376" spans="1:11" ht="15.75" customHeight="1">
      <c r="A376" s="39"/>
      <c r="B376" s="40"/>
      <c r="H376" s="38"/>
      <c r="K376" s="38"/>
    </row>
    <row r="377" spans="1:11" ht="15.75" customHeight="1">
      <c r="A377" s="39"/>
      <c r="B377" s="40"/>
      <c r="H377" s="38"/>
      <c r="K377" s="38"/>
    </row>
    <row r="378" spans="1:11" ht="15.75" customHeight="1">
      <c r="A378" s="39"/>
      <c r="B378" s="40"/>
      <c r="H378" s="38"/>
      <c r="K378" s="38"/>
    </row>
    <row r="379" spans="1:11" ht="15.75" customHeight="1">
      <c r="A379" s="39"/>
      <c r="B379" s="40"/>
      <c r="H379" s="38"/>
      <c r="K379" s="38"/>
    </row>
    <row r="380" spans="1:11" ht="15.75" customHeight="1">
      <c r="A380" s="39"/>
      <c r="B380" s="40"/>
      <c r="H380" s="38"/>
      <c r="K380" s="38"/>
    </row>
    <row r="381" spans="1:11" ht="15.75" customHeight="1">
      <c r="A381" s="39"/>
      <c r="B381" s="40"/>
      <c r="H381" s="38"/>
      <c r="K381" s="38"/>
    </row>
    <row r="382" spans="1:11" ht="15.75" customHeight="1">
      <c r="A382" s="39"/>
      <c r="B382" s="40"/>
      <c r="H382" s="38"/>
      <c r="K382" s="38"/>
    </row>
    <row r="383" spans="1:11" ht="15.75" customHeight="1">
      <c r="A383" s="39"/>
      <c r="B383" s="40"/>
      <c r="H383" s="38"/>
      <c r="K383" s="38"/>
    </row>
    <row r="384" spans="1:11" ht="15.75" customHeight="1">
      <c r="A384" s="39"/>
      <c r="B384" s="40"/>
      <c r="H384" s="38"/>
      <c r="K384" s="38"/>
    </row>
    <row r="385" spans="1:11" ht="15.75" customHeight="1">
      <c r="A385" s="39"/>
      <c r="B385" s="40"/>
      <c r="H385" s="38"/>
      <c r="K385" s="38"/>
    </row>
    <row r="386" spans="1:11" ht="15.75" customHeight="1">
      <c r="A386" s="39"/>
      <c r="B386" s="40"/>
      <c r="H386" s="38"/>
      <c r="K386" s="38"/>
    </row>
    <row r="387" spans="1:11" ht="15.75" customHeight="1">
      <c r="A387" s="39"/>
      <c r="B387" s="40"/>
      <c r="H387" s="38"/>
      <c r="K387" s="38"/>
    </row>
    <row r="388" spans="1:11" ht="15.75" customHeight="1">
      <c r="A388" s="39"/>
      <c r="B388" s="40"/>
      <c r="H388" s="38"/>
      <c r="K388" s="38"/>
    </row>
    <row r="389" spans="1:11" ht="15.75" customHeight="1">
      <c r="A389" s="39"/>
      <c r="B389" s="40"/>
      <c r="H389" s="38"/>
      <c r="K389" s="38"/>
    </row>
    <row r="390" spans="1:11" ht="15.75" customHeight="1">
      <c r="A390" s="39"/>
      <c r="B390" s="40"/>
      <c r="H390" s="38"/>
      <c r="K390" s="38"/>
    </row>
    <row r="391" spans="1:11" ht="15.75" customHeight="1">
      <c r="A391" s="39"/>
      <c r="B391" s="40"/>
      <c r="H391" s="38"/>
      <c r="K391" s="38"/>
    </row>
    <row r="392" spans="1:11" ht="15.75" customHeight="1">
      <c r="A392" s="39"/>
      <c r="B392" s="40"/>
      <c r="H392" s="38"/>
      <c r="K392" s="38"/>
    </row>
    <row r="393" spans="1:11" ht="15.75" customHeight="1">
      <c r="A393" s="39"/>
      <c r="B393" s="40"/>
      <c r="H393" s="38"/>
      <c r="K393" s="38"/>
    </row>
    <row r="394" spans="1:11" ht="15.75" customHeight="1">
      <c r="A394" s="39"/>
      <c r="B394" s="40"/>
      <c r="H394" s="38"/>
      <c r="K394" s="38"/>
    </row>
    <row r="395" spans="1:11" ht="15.75" customHeight="1">
      <c r="A395" s="39"/>
      <c r="B395" s="40"/>
      <c r="H395" s="38"/>
      <c r="K395" s="38"/>
    </row>
    <row r="396" spans="1:11" ht="15.75" customHeight="1">
      <c r="A396" s="39"/>
      <c r="B396" s="40"/>
      <c r="H396" s="38"/>
      <c r="K396" s="38"/>
    </row>
    <row r="397" spans="1:11" ht="15.75" customHeight="1">
      <c r="A397" s="39"/>
      <c r="B397" s="40"/>
      <c r="H397" s="38"/>
      <c r="K397" s="38"/>
    </row>
    <row r="398" spans="1:11" ht="15.75" customHeight="1">
      <c r="A398" s="39"/>
      <c r="B398" s="40"/>
      <c r="H398" s="38"/>
      <c r="K398" s="38"/>
    </row>
    <row r="399" spans="1:11" ht="15.75" customHeight="1">
      <c r="A399" s="39"/>
      <c r="B399" s="40"/>
      <c r="H399" s="38"/>
      <c r="K399" s="38"/>
    </row>
    <row r="400" spans="1:11" ht="15.75" customHeight="1">
      <c r="A400" s="39"/>
      <c r="B400" s="40"/>
      <c r="H400" s="38"/>
      <c r="K400" s="38"/>
    </row>
    <row r="401" spans="1:11" ht="15.75" customHeight="1">
      <c r="A401" s="39"/>
      <c r="B401" s="40"/>
      <c r="H401" s="38"/>
      <c r="K401" s="38"/>
    </row>
    <row r="402" spans="1:11" ht="15.75" customHeight="1">
      <c r="A402" s="39"/>
      <c r="B402" s="40"/>
      <c r="H402" s="38"/>
      <c r="K402" s="38"/>
    </row>
    <row r="403" spans="1:11" ht="15.75" customHeight="1">
      <c r="A403" s="39"/>
      <c r="B403" s="40"/>
      <c r="H403" s="38"/>
      <c r="K403" s="38"/>
    </row>
    <row r="404" spans="1:11" ht="15.75" customHeight="1">
      <c r="A404" s="39"/>
      <c r="B404" s="40"/>
      <c r="H404" s="38"/>
      <c r="K404" s="38"/>
    </row>
    <row r="405" spans="1:11" ht="15.75" customHeight="1">
      <c r="A405" s="39"/>
      <c r="B405" s="40"/>
      <c r="H405" s="38"/>
      <c r="K405" s="38"/>
    </row>
    <row r="406" spans="1:11" ht="15.75" customHeight="1">
      <c r="A406" s="39"/>
      <c r="B406" s="40"/>
      <c r="H406" s="38"/>
      <c r="K406" s="38"/>
    </row>
    <row r="407" spans="1:11" ht="15.75" customHeight="1">
      <c r="A407" s="39"/>
      <c r="B407" s="40"/>
      <c r="H407" s="38"/>
      <c r="K407" s="38"/>
    </row>
    <row r="408" spans="1:11" ht="15.75" customHeight="1">
      <c r="A408" s="39"/>
      <c r="B408" s="40"/>
      <c r="H408" s="38"/>
      <c r="K408" s="38"/>
    </row>
    <row r="409" spans="1:11" ht="15.75" customHeight="1">
      <c r="A409" s="39"/>
      <c r="B409" s="40"/>
      <c r="H409" s="38"/>
      <c r="K409" s="38"/>
    </row>
    <row r="410" spans="1:11" ht="15.75" customHeight="1">
      <c r="A410" s="39"/>
      <c r="B410" s="40"/>
      <c r="H410" s="38"/>
      <c r="K410" s="38"/>
    </row>
    <row r="411" spans="1:11" ht="15.75" customHeight="1">
      <c r="A411" s="39"/>
      <c r="B411" s="40"/>
      <c r="H411" s="38"/>
      <c r="K411" s="38"/>
    </row>
    <row r="412" spans="1:11" ht="15.75" customHeight="1">
      <c r="A412" s="39"/>
      <c r="B412" s="40"/>
      <c r="H412" s="38"/>
      <c r="K412" s="38"/>
    </row>
    <row r="413" spans="1:11" ht="15.75" customHeight="1">
      <c r="A413" s="39"/>
      <c r="B413" s="40"/>
      <c r="H413" s="38"/>
      <c r="K413" s="38"/>
    </row>
    <row r="414" spans="1:11" ht="15.75" customHeight="1">
      <c r="A414" s="39"/>
      <c r="B414" s="40"/>
      <c r="H414" s="38"/>
      <c r="K414" s="38"/>
    </row>
    <row r="415" spans="1:11" ht="15.75" customHeight="1">
      <c r="A415" s="39"/>
      <c r="B415" s="40"/>
      <c r="H415" s="38"/>
      <c r="K415" s="38"/>
    </row>
    <row r="416" spans="1:11" ht="15.75" customHeight="1">
      <c r="A416" s="39"/>
      <c r="B416" s="40"/>
      <c r="H416" s="38"/>
      <c r="K416" s="38"/>
    </row>
    <row r="417" spans="1:11" ht="15.75" customHeight="1">
      <c r="A417" s="39"/>
      <c r="B417" s="40"/>
      <c r="H417" s="38"/>
      <c r="K417" s="38"/>
    </row>
    <row r="418" spans="1:11" ht="15.75" customHeight="1">
      <c r="A418" s="39"/>
      <c r="B418" s="40"/>
      <c r="H418" s="38"/>
      <c r="K418" s="38"/>
    </row>
    <row r="419" spans="1:11" ht="15.75" customHeight="1">
      <c r="A419" s="39"/>
      <c r="B419" s="40"/>
      <c r="H419" s="38"/>
      <c r="K419" s="38"/>
    </row>
    <row r="420" spans="1:11" ht="15.75" customHeight="1">
      <c r="A420" s="39"/>
      <c r="B420" s="40"/>
      <c r="H420" s="38"/>
      <c r="K420" s="38"/>
    </row>
    <row r="421" spans="1:11" ht="15.75" customHeight="1">
      <c r="A421" s="39"/>
      <c r="B421" s="40"/>
      <c r="H421" s="38"/>
      <c r="K421" s="38"/>
    </row>
    <row r="422" spans="1:11" ht="15.75" customHeight="1">
      <c r="A422" s="39"/>
      <c r="B422" s="40"/>
      <c r="H422" s="38"/>
      <c r="K422" s="38"/>
    </row>
    <row r="423" spans="1:11" ht="15.75" customHeight="1">
      <c r="A423" s="39"/>
      <c r="B423" s="40"/>
      <c r="H423" s="38"/>
      <c r="K423" s="38"/>
    </row>
    <row r="424" spans="1:11" ht="15.75" customHeight="1">
      <c r="A424" s="39"/>
      <c r="B424" s="40"/>
      <c r="H424" s="38"/>
      <c r="K424" s="38"/>
    </row>
    <row r="425" spans="1:11" ht="15.75" customHeight="1">
      <c r="A425" s="39"/>
      <c r="B425" s="40"/>
      <c r="H425" s="38"/>
      <c r="K425" s="38"/>
    </row>
    <row r="426" spans="1:11" ht="15.75" customHeight="1">
      <c r="A426" s="39"/>
      <c r="B426" s="40"/>
      <c r="H426" s="38"/>
      <c r="K426" s="38"/>
    </row>
    <row r="427" spans="1:11" ht="15.75" customHeight="1">
      <c r="A427" s="39"/>
      <c r="B427" s="40"/>
      <c r="H427" s="38"/>
      <c r="K427" s="38"/>
    </row>
    <row r="428" spans="1:11" ht="15.75" customHeight="1">
      <c r="A428" s="39"/>
      <c r="B428" s="40"/>
      <c r="H428" s="38"/>
      <c r="K428" s="38"/>
    </row>
    <row r="429" spans="1:11" ht="15.75" customHeight="1">
      <c r="A429" s="39"/>
      <c r="B429" s="40"/>
      <c r="H429" s="38"/>
      <c r="K429" s="38"/>
    </row>
    <row r="430" spans="1:11" ht="15.75" customHeight="1">
      <c r="A430" s="39"/>
      <c r="B430" s="40"/>
      <c r="H430" s="38"/>
      <c r="K430" s="38"/>
    </row>
    <row r="431" spans="1:11" ht="15.75" customHeight="1">
      <c r="A431" s="39"/>
      <c r="B431" s="40"/>
      <c r="H431" s="38"/>
      <c r="K431" s="38"/>
    </row>
    <row r="432" spans="1:11" ht="15.75" customHeight="1">
      <c r="A432" s="39"/>
      <c r="B432" s="40"/>
      <c r="H432" s="38"/>
      <c r="K432" s="38"/>
    </row>
    <row r="433" spans="1:11" ht="15.75" customHeight="1">
      <c r="A433" s="39"/>
      <c r="B433" s="40"/>
      <c r="H433" s="38"/>
      <c r="K433" s="38"/>
    </row>
    <row r="434" spans="1:11" ht="15.75" customHeight="1">
      <c r="A434" s="39"/>
      <c r="B434" s="40"/>
      <c r="H434" s="38"/>
      <c r="K434" s="38"/>
    </row>
    <row r="435" spans="1:11" ht="15.75" customHeight="1">
      <c r="A435" s="39"/>
      <c r="B435" s="40"/>
      <c r="H435" s="38"/>
      <c r="K435" s="38"/>
    </row>
    <row r="436" spans="1:11" ht="15.75" customHeight="1">
      <c r="A436" s="39"/>
      <c r="B436" s="40"/>
      <c r="H436" s="38"/>
      <c r="K436" s="38"/>
    </row>
    <row r="437" spans="1:11" ht="15.75" customHeight="1">
      <c r="A437" s="39"/>
      <c r="B437" s="40"/>
      <c r="H437" s="38"/>
      <c r="K437" s="38"/>
    </row>
    <row r="438" spans="1:11" ht="15.75" customHeight="1">
      <c r="A438" s="39"/>
      <c r="B438" s="40"/>
      <c r="H438" s="38"/>
      <c r="K438" s="38"/>
    </row>
    <row r="439" spans="1:11" ht="15.75" customHeight="1">
      <c r="A439" s="39"/>
      <c r="B439" s="40"/>
      <c r="H439" s="38"/>
      <c r="K439" s="38"/>
    </row>
    <row r="440" spans="1:11" ht="15.75" customHeight="1">
      <c r="A440" s="39"/>
      <c r="B440" s="40"/>
      <c r="H440" s="38"/>
      <c r="K440" s="38"/>
    </row>
    <row r="441" spans="1:11" ht="15.75" customHeight="1">
      <c r="A441" s="39"/>
      <c r="B441" s="40"/>
      <c r="H441" s="38"/>
      <c r="K441" s="38"/>
    </row>
    <row r="442" spans="1:11" ht="15.75" customHeight="1">
      <c r="A442" s="39"/>
      <c r="B442" s="40"/>
      <c r="H442" s="38"/>
      <c r="K442" s="38"/>
    </row>
    <row r="443" spans="1:11" ht="15.75" customHeight="1">
      <c r="A443" s="39"/>
      <c r="B443" s="40"/>
      <c r="H443" s="38"/>
      <c r="K443" s="38"/>
    </row>
    <row r="444" spans="1:11" ht="15.75" customHeight="1">
      <c r="A444" s="39"/>
      <c r="B444" s="40"/>
      <c r="H444" s="38"/>
      <c r="K444" s="38"/>
    </row>
    <row r="445" spans="1:11" ht="15.75" customHeight="1">
      <c r="A445" s="39"/>
      <c r="B445" s="40"/>
      <c r="H445" s="38"/>
      <c r="K445" s="38"/>
    </row>
    <row r="446" spans="1:11" ht="15.75" customHeight="1">
      <c r="A446" s="39"/>
      <c r="B446" s="40"/>
      <c r="H446" s="38"/>
      <c r="K446" s="38"/>
    </row>
    <row r="447" spans="1:11" ht="15.75" customHeight="1">
      <c r="A447" s="39"/>
      <c r="B447" s="40"/>
      <c r="H447" s="38"/>
      <c r="K447" s="38"/>
    </row>
    <row r="448" spans="1:11" ht="15.75" customHeight="1">
      <c r="A448" s="39"/>
      <c r="B448" s="40"/>
      <c r="H448" s="38"/>
      <c r="K448" s="38"/>
    </row>
    <row r="449" spans="1:11" ht="15.75" customHeight="1">
      <c r="A449" s="39"/>
      <c r="B449" s="40"/>
      <c r="H449" s="38"/>
      <c r="K449" s="38"/>
    </row>
    <row r="450" spans="1:11" ht="15.75" customHeight="1">
      <c r="A450" s="39"/>
      <c r="B450" s="40"/>
      <c r="H450" s="38"/>
      <c r="K450" s="38"/>
    </row>
    <row r="451" spans="1:11" ht="15.75" customHeight="1">
      <c r="A451" s="39"/>
      <c r="B451" s="40"/>
      <c r="H451" s="38"/>
      <c r="K451" s="38"/>
    </row>
    <row r="452" spans="1:11" ht="15.75" customHeight="1">
      <c r="A452" s="39"/>
      <c r="B452" s="40"/>
      <c r="H452" s="38"/>
      <c r="K452" s="38"/>
    </row>
    <row r="453" spans="1:11" ht="15.75" customHeight="1">
      <c r="A453" s="39"/>
      <c r="B453" s="40"/>
      <c r="H453" s="38"/>
      <c r="K453" s="38"/>
    </row>
    <row r="454" spans="1:11" ht="15.75" customHeight="1">
      <c r="A454" s="39"/>
      <c r="B454" s="40"/>
      <c r="H454" s="38"/>
      <c r="K454" s="38"/>
    </row>
    <row r="455" spans="1:11" ht="15.75" customHeight="1">
      <c r="A455" s="39"/>
      <c r="B455" s="40"/>
      <c r="H455" s="38"/>
      <c r="K455" s="38"/>
    </row>
    <row r="456" spans="1:11" ht="15.75" customHeight="1">
      <c r="A456" s="39"/>
      <c r="B456" s="40"/>
      <c r="H456" s="38"/>
      <c r="K456" s="38"/>
    </row>
    <row r="457" spans="1:11" ht="15.75" customHeight="1">
      <c r="A457" s="39"/>
      <c r="B457" s="40"/>
      <c r="H457" s="38"/>
      <c r="K457" s="38"/>
    </row>
    <row r="458" spans="1:11" ht="15.75" customHeight="1">
      <c r="A458" s="39"/>
      <c r="B458" s="40"/>
      <c r="H458" s="38"/>
      <c r="K458" s="38"/>
    </row>
    <row r="459" spans="1:11" ht="15.75" customHeight="1">
      <c r="A459" s="39"/>
      <c r="B459" s="40"/>
      <c r="H459" s="38"/>
      <c r="K459" s="38"/>
    </row>
    <row r="460" spans="1:11" ht="15.75" customHeight="1">
      <c r="A460" s="39"/>
      <c r="B460" s="40"/>
      <c r="H460" s="38"/>
      <c r="K460" s="38"/>
    </row>
    <row r="461" spans="1:11" ht="15.75" customHeight="1">
      <c r="A461" s="39"/>
      <c r="B461" s="40"/>
      <c r="H461" s="38"/>
      <c r="K461" s="38"/>
    </row>
    <row r="462" spans="1:11" ht="15.75" customHeight="1">
      <c r="A462" s="39"/>
      <c r="B462" s="40"/>
      <c r="H462" s="38"/>
      <c r="K462" s="38"/>
    </row>
    <row r="463" spans="1:11" ht="15.75" customHeight="1">
      <c r="A463" s="39"/>
      <c r="B463" s="40"/>
      <c r="H463" s="38"/>
      <c r="K463" s="38"/>
    </row>
    <row r="464" spans="1:11" ht="15.75" customHeight="1">
      <c r="A464" s="39"/>
      <c r="B464" s="40"/>
      <c r="H464" s="38"/>
      <c r="K464" s="38"/>
    </row>
    <row r="465" spans="1:11" ht="15.75" customHeight="1">
      <c r="A465" s="39"/>
      <c r="B465" s="40"/>
      <c r="H465" s="38"/>
      <c r="K465" s="38"/>
    </row>
    <row r="466" spans="1:11" ht="15.75" customHeight="1">
      <c r="A466" s="39"/>
      <c r="B466" s="40"/>
      <c r="H466" s="38"/>
      <c r="K466" s="38"/>
    </row>
    <row r="467" spans="1:11" ht="15.75" customHeight="1">
      <c r="A467" s="39"/>
      <c r="B467" s="40"/>
      <c r="H467" s="38"/>
      <c r="K467" s="38"/>
    </row>
    <row r="468" spans="1:11" ht="15.75" customHeight="1">
      <c r="A468" s="39"/>
      <c r="B468" s="40"/>
      <c r="H468" s="38"/>
      <c r="K468" s="38"/>
    </row>
    <row r="469" spans="1:11" ht="15.75" customHeight="1">
      <c r="A469" s="39"/>
      <c r="B469" s="40"/>
      <c r="H469" s="38"/>
      <c r="K469" s="38"/>
    </row>
    <row r="470" spans="1:11" ht="15.75" customHeight="1">
      <c r="A470" s="39"/>
      <c r="B470" s="40"/>
      <c r="H470" s="38"/>
      <c r="K470" s="38"/>
    </row>
    <row r="471" spans="1:11" ht="15.75" customHeight="1">
      <c r="A471" s="39"/>
      <c r="B471" s="40"/>
      <c r="H471" s="38"/>
      <c r="K471" s="38"/>
    </row>
    <row r="472" spans="1:11" ht="15.75" customHeight="1">
      <c r="A472" s="39"/>
      <c r="B472" s="40"/>
      <c r="H472" s="38"/>
      <c r="K472" s="38"/>
    </row>
    <row r="473" spans="1:11" ht="15.75" customHeight="1">
      <c r="A473" s="39"/>
      <c r="B473" s="40"/>
      <c r="H473" s="38"/>
      <c r="K473" s="38"/>
    </row>
    <row r="474" spans="1:11" ht="15.75" customHeight="1">
      <c r="A474" s="39"/>
      <c r="B474" s="40"/>
      <c r="H474" s="38"/>
      <c r="K474" s="38"/>
    </row>
    <row r="475" spans="1:11" ht="15.75" customHeight="1">
      <c r="A475" s="39"/>
      <c r="B475" s="40"/>
      <c r="H475" s="38"/>
      <c r="K475" s="38"/>
    </row>
    <row r="476" spans="1:11" ht="15.75" customHeight="1">
      <c r="A476" s="39"/>
      <c r="B476" s="40"/>
      <c r="H476" s="38"/>
      <c r="K476" s="38"/>
    </row>
    <row r="477" spans="1:11" ht="15.75" customHeight="1">
      <c r="A477" s="39"/>
      <c r="B477" s="40"/>
      <c r="H477" s="38"/>
      <c r="K477" s="38"/>
    </row>
    <row r="478" spans="1:11" ht="15.75" customHeight="1">
      <c r="A478" s="39"/>
      <c r="B478" s="40"/>
      <c r="H478" s="38"/>
      <c r="K478" s="38"/>
    </row>
    <row r="479" spans="1:11" ht="15.75" customHeight="1">
      <c r="A479" s="39"/>
      <c r="B479" s="40"/>
      <c r="H479" s="38"/>
      <c r="K479" s="38"/>
    </row>
    <row r="480" spans="1:11" ht="15.75" customHeight="1">
      <c r="A480" s="39"/>
      <c r="B480" s="40"/>
      <c r="H480" s="38"/>
      <c r="K480" s="38"/>
    </row>
    <row r="481" spans="1:11" ht="15.75" customHeight="1">
      <c r="A481" s="39"/>
      <c r="B481" s="40"/>
      <c r="H481" s="38"/>
      <c r="K481" s="38"/>
    </row>
    <row r="482" spans="1:11" ht="15.75" customHeight="1">
      <c r="A482" s="39"/>
      <c r="B482" s="40"/>
      <c r="H482" s="38"/>
      <c r="K482" s="38"/>
    </row>
    <row r="483" spans="1:11" ht="15.75" customHeight="1">
      <c r="A483" s="39"/>
      <c r="B483" s="40"/>
      <c r="H483" s="38"/>
      <c r="K483" s="38"/>
    </row>
    <row r="484" spans="1:11" ht="15.75" customHeight="1">
      <c r="A484" s="39"/>
      <c r="B484" s="40"/>
      <c r="H484" s="38"/>
      <c r="K484" s="38"/>
    </row>
    <row r="485" spans="1:11" ht="15.75" customHeight="1">
      <c r="A485" s="39"/>
      <c r="B485" s="40"/>
      <c r="H485" s="38"/>
      <c r="K485" s="38"/>
    </row>
    <row r="486" spans="1:11" ht="15.75" customHeight="1">
      <c r="A486" s="39"/>
      <c r="B486" s="40"/>
      <c r="H486" s="38"/>
      <c r="K486" s="38"/>
    </row>
    <row r="487" spans="1:11" ht="15.75" customHeight="1">
      <c r="A487" s="39"/>
      <c r="B487" s="40"/>
      <c r="H487" s="38"/>
      <c r="K487" s="38"/>
    </row>
    <row r="488" spans="1:11" ht="15.75" customHeight="1">
      <c r="A488" s="39"/>
      <c r="B488" s="40"/>
      <c r="H488" s="38"/>
      <c r="K488" s="38"/>
    </row>
    <row r="489" spans="1:11" ht="15.75" customHeight="1">
      <c r="A489" s="39"/>
      <c r="B489" s="40"/>
      <c r="H489" s="38"/>
      <c r="K489" s="38"/>
    </row>
    <row r="490" spans="1:11" ht="15.75" customHeight="1">
      <c r="A490" s="39"/>
      <c r="B490" s="40"/>
      <c r="H490" s="38"/>
      <c r="K490" s="38"/>
    </row>
    <row r="491" spans="1:11" ht="15.75" customHeight="1">
      <c r="A491" s="39"/>
      <c r="B491" s="40"/>
      <c r="H491" s="38"/>
      <c r="K491" s="38"/>
    </row>
    <row r="492" spans="1:11" ht="15.75" customHeight="1">
      <c r="A492" s="39"/>
      <c r="B492" s="40"/>
      <c r="H492" s="38"/>
      <c r="K492" s="38"/>
    </row>
    <row r="493" spans="1:11" ht="15.75" customHeight="1">
      <c r="A493" s="39"/>
      <c r="B493" s="40"/>
      <c r="H493" s="38"/>
      <c r="K493" s="38"/>
    </row>
    <row r="494" spans="1:11" ht="15.75" customHeight="1">
      <c r="A494" s="39"/>
      <c r="B494" s="40"/>
      <c r="H494" s="38"/>
      <c r="K494" s="38"/>
    </row>
    <row r="495" spans="1:11" ht="15.75" customHeight="1">
      <c r="A495" s="39"/>
      <c r="B495" s="40"/>
      <c r="H495" s="38"/>
      <c r="K495" s="38"/>
    </row>
    <row r="496" spans="1:11" ht="15.75" customHeight="1">
      <c r="A496" s="39"/>
      <c r="B496" s="40"/>
      <c r="H496" s="38"/>
      <c r="K496" s="38"/>
    </row>
    <row r="497" spans="1:11" ht="15.75" customHeight="1">
      <c r="A497" s="39"/>
      <c r="B497" s="40"/>
      <c r="H497" s="38"/>
      <c r="K497" s="38"/>
    </row>
    <row r="498" spans="1:11" ht="15.75" customHeight="1">
      <c r="A498" s="39"/>
      <c r="B498" s="40"/>
      <c r="H498" s="38"/>
      <c r="K498" s="38"/>
    </row>
    <row r="499" spans="1:11" ht="15.75" customHeight="1">
      <c r="A499" s="39"/>
      <c r="B499" s="40"/>
      <c r="H499" s="38"/>
      <c r="K499" s="38"/>
    </row>
    <row r="500" spans="1:11" ht="15.75" customHeight="1">
      <c r="A500" s="39"/>
      <c r="B500" s="40"/>
      <c r="H500" s="38"/>
      <c r="K500" s="38"/>
    </row>
    <row r="501" spans="1:11" ht="15.75" customHeight="1">
      <c r="A501" s="39"/>
      <c r="B501" s="40"/>
      <c r="H501" s="38"/>
      <c r="K501" s="38"/>
    </row>
    <row r="502" spans="1:11" ht="15.75" customHeight="1">
      <c r="A502" s="39"/>
      <c r="B502" s="40"/>
      <c r="H502" s="38"/>
      <c r="K502" s="38"/>
    </row>
    <row r="503" spans="1:11" ht="15.75" customHeight="1">
      <c r="A503" s="39"/>
      <c r="B503" s="40"/>
      <c r="H503" s="38"/>
      <c r="K503" s="38"/>
    </row>
    <row r="504" spans="1:11" ht="15.75" customHeight="1">
      <c r="A504" s="39"/>
      <c r="B504" s="40"/>
      <c r="H504" s="38"/>
      <c r="K504" s="38"/>
    </row>
    <row r="505" spans="1:11" ht="15.75" customHeight="1">
      <c r="A505" s="39"/>
      <c r="B505" s="40"/>
      <c r="H505" s="38"/>
      <c r="K505" s="38"/>
    </row>
    <row r="506" spans="1:11" ht="15.75" customHeight="1">
      <c r="A506" s="39"/>
      <c r="B506" s="40"/>
      <c r="H506" s="38"/>
      <c r="K506" s="38"/>
    </row>
    <row r="507" spans="1:11" ht="15.75" customHeight="1">
      <c r="A507" s="39"/>
      <c r="B507" s="40"/>
      <c r="H507" s="38"/>
      <c r="K507" s="38"/>
    </row>
    <row r="508" spans="1:11" ht="15.75" customHeight="1">
      <c r="A508" s="39"/>
      <c r="B508" s="40"/>
      <c r="H508" s="38"/>
      <c r="K508" s="38"/>
    </row>
    <row r="509" spans="1:11" ht="15.75" customHeight="1">
      <c r="A509" s="39"/>
      <c r="B509" s="40"/>
      <c r="H509" s="38"/>
      <c r="K509" s="38"/>
    </row>
    <row r="510" spans="1:11" ht="15.75" customHeight="1">
      <c r="A510" s="39"/>
      <c r="B510" s="40"/>
      <c r="H510" s="38"/>
      <c r="K510" s="38"/>
    </row>
    <row r="511" spans="1:11" ht="15.75" customHeight="1">
      <c r="A511" s="39"/>
      <c r="B511" s="40"/>
      <c r="H511" s="38"/>
      <c r="K511" s="38"/>
    </row>
    <row r="512" spans="1:11" ht="15.75" customHeight="1">
      <c r="A512" s="39"/>
      <c r="B512" s="40"/>
      <c r="H512" s="38"/>
      <c r="K512" s="38"/>
    </row>
    <row r="513" spans="1:11" ht="15.75" customHeight="1">
      <c r="A513" s="39"/>
      <c r="B513" s="40"/>
      <c r="H513" s="38"/>
      <c r="K513" s="38"/>
    </row>
    <row r="514" spans="1:11" ht="15.75" customHeight="1">
      <c r="A514" s="39"/>
      <c r="B514" s="40"/>
      <c r="H514" s="38"/>
      <c r="K514" s="38"/>
    </row>
    <row r="515" spans="1:11" ht="15.75" customHeight="1">
      <c r="A515" s="39"/>
      <c r="B515" s="40"/>
      <c r="H515" s="38"/>
      <c r="K515" s="38"/>
    </row>
    <row r="516" spans="1:11" ht="15.75" customHeight="1">
      <c r="A516" s="39"/>
      <c r="B516" s="40"/>
      <c r="H516" s="38"/>
      <c r="K516" s="38"/>
    </row>
    <row r="517" spans="1:11" ht="15.75" customHeight="1">
      <c r="A517" s="39"/>
      <c r="B517" s="40"/>
      <c r="H517" s="38"/>
      <c r="K517" s="38"/>
    </row>
    <row r="518" spans="1:11" ht="15.75" customHeight="1">
      <c r="A518" s="39"/>
      <c r="B518" s="40"/>
      <c r="H518" s="38"/>
      <c r="K518" s="38"/>
    </row>
    <row r="519" spans="1:11" ht="15.75" customHeight="1">
      <c r="A519" s="39"/>
      <c r="B519" s="40"/>
      <c r="H519" s="38"/>
      <c r="K519" s="38"/>
    </row>
    <row r="520" spans="1:11" ht="15.75" customHeight="1">
      <c r="A520" s="39"/>
      <c r="B520" s="40"/>
      <c r="H520" s="38"/>
      <c r="K520" s="38"/>
    </row>
    <row r="521" spans="1:11" ht="15.75" customHeight="1">
      <c r="A521" s="39"/>
      <c r="B521" s="40"/>
      <c r="H521" s="38"/>
      <c r="K521" s="38"/>
    </row>
    <row r="522" spans="1:11" ht="15.75" customHeight="1">
      <c r="A522" s="39"/>
      <c r="B522" s="40"/>
      <c r="H522" s="38"/>
      <c r="K522" s="38"/>
    </row>
    <row r="523" spans="1:11" ht="15.75" customHeight="1">
      <c r="A523" s="39"/>
      <c r="B523" s="40"/>
      <c r="H523" s="38"/>
      <c r="K523" s="38"/>
    </row>
    <row r="524" spans="1:11" ht="15.75" customHeight="1">
      <c r="A524" s="39"/>
      <c r="B524" s="40"/>
      <c r="H524" s="38"/>
      <c r="K524" s="38"/>
    </row>
    <row r="525" spans="1:11" ht="15.75" customHeight="1">
      <c r="A525" s="39"/>
      <c r="B525" s="40"/>
      <c r="H525" s="38"/>
      <c r="K525" s="38"/>
    </row>
    <row r="526" spans="1:11" ht="15.75" customHeight="1">
      <c r="A526" s="39"/>
      <c r="B526" s="40"/>
      <c r="H526" s="38"/>
      <c r="K526" s="38"/>
    </row>
    <row r="527" spans="1:11" ht="15.75" customHeight="1">
      <c r="A527" s="39"/>
      <c r="B527" s="40"/>
      <c r="H527" s="38"/>
      <c r="K527" s="38"/>
    </row>
    <row r="528" spans="1:11" ht="15.75" customHeight="1">
      <c r="A528" s="39"/>
      <c r="B528" s="40"/>
      <c r="H528" s="38"/>
      <c r="K528" s="38"/>
    </row>
    <row r="529" spans="1:11" ht="15.75" customHeight="1">
      <c r="A529" s="39"/>
      <c r="B529" s="40"/>
      <c r="H529" s="38"/>
      <c r="K529" s="38"/>
    </row>
    <row r="530" spans="1:11" ht="15.75" customHeight="1">
      <c r="A530" s="39"/>
      <c r="B530" s="40"/>
      <c r="H530" s="38"/>
      <c r="K530" s="38"/>
    </row>
    <row r="531" spans="1:11" ht="15.75" customHeight="1">
      <c r="A531" s="39"/>
      <c r="B531" s="40"/>
      <c r="H531" s="38"/>
      <c r="K531" s="38"/>
    </row>
    <row r="532" spans="1:11" ht="15.75" customHeight="1">
      <c r="A532" s="39"/>
      <c r="B532" s="40"/>
      <c r="H532" s="38"/>
      <c r="K532" s="38"/>
    </row>
    <row r="533" spans="1:11" ht="15.75" customHeight="1">
      <c r="A533" s="39"/>
      <c r="B533" s="40"/>
      <c r="H533" s="38"/>
      <c r="K533" s="38"/>
    </row>
    <row r="534" spans="1:11" ht="15.75" customHeight="1">
      <c r="A534" s="39"/>
      <c r="B534" s="40"/>
      <c r="H534" s="38"/>
      <c r="K534" s="38"/>
    </row>
    <row r="535" spans="1:11" ht="15.75" customHeight="1">
      <c r="A535" s="39"/>
      <c r="B535" s="40"/>
      <c r="H535" s="38"/>
      <c r="K535" s="38"/>
    </row>
    <row r="536" spans="1:11" ht="15.75" customHeight="1">
      <c r="A536" s="39"/>
      <c r="B536" s="40"/>
      <c r="H536" s="38"/>
      <c r="K536" s="38"/>
    </row>
    <row r="537" spans="1:11" ht="15.75" customHeight="1">
      <c r="A537" s="39"/>
      <c r="B537" s="40"/>
      <c r="H537" s="38"/>
      <c r="K537" s="38"/>
    </row>
    <row r="538" spans="1:11" ht="15.75" customHeight="1">
      <c r="A538" s="39"/>
      <c r="B538" s="40"/>
      <c r="H538" s="38"/>
      <c r="K538" s="38"/>
    </row>
    <row r="539" spans="1:11" ht="15.75" customHeight="1">
      <c r="A539" s="39"/>
      <c r="B539" s="40"/>
      <c r="H539" s="38"/>
      <c r="K539" s="38"/>
    </row>
    <row r="540" spans="1:11" ht="15.75" customHeight="1">
      <c r="A540" s="39"/>
      <c r="B540" s="40"/>
      <c r="H540" s="38"/>
      <c r="K540" s="38"/>
    </row>
    <row r="541" spans="1:11" ht="15.75" customHeight="1">
      <c r="A541" s="39"/>
      <c r="B541" s="40"/>
      <c r="H541" s="38"/>
      <c r="K541" s="38"/>
    </row>
    <row r="542" spans="1:11" ht="15.75" customHeight="1">
      <c r="A542" s="39"/>
      <c r="B542" s="40"/>
      <c r="H542" s="38"/>
      <c r="K542" s="38"/>
    </row>
    <row r="543" spans="1:11" ht="15.75" customHeight="1">
      <c r="A543" s="39"/>
      <c r="B543" s="40"/>
      <c r="H543" s="38"/>
      <c r="K543" s="38"/>
    </row>
    <row r="544" spans="1:11" ht="15.75" customHeight="1">
      <c r="A544" s="39"/>
      <c r="B544" s="40"/>
      <c r="H544" s="38"/>
      <c r="K544" s="38"/>
    </row>
    <row r="545" spans="1:11" ht="15.75" customHeight="1">
      <c r="A545" s="39"/>
      <c r="B545" s="40"/>
      <c r="H545" s="38"/>
      <c r="K545" s="38"/>
    </row>
    <row r="546" spans="1:11" ht="15.75" customHeight="1">
      <c r="A546" s="39"/>
      <c r="B546" s="40"/>
      <c r="H546" s="38"/>
      <c r="K546" s="38"/>
    </row>
    <row r="547" spans="1:11" ht="15.75" customHeight="1">
      <c r="A547" s="39"/>
      <c r="B547" s="40"/>
      <c r="H547" s="38"/>
      <c r="K547" s="38"/>
    </row>
    <row r="548" spans="1:11" ht="15.75" customHeight="1">
      <c r="A548" s="39"/>
      <c r="B548" s="40"/>
      <c r="H548" s="38"/>
      <c r="K548" s="38"/>
    </row>
    <row r="549" spans="1:11" ht="15.75" customHeight="1">
      <c r="A549" s="39"/>
      <c r="B549" s="40"/>
      <c r="H549" s="38"/>
      <c r="K549" s="38"/>
    </row>
    <row r="550" spans="1:11" ht="15.75" customHeight="1">
      <c r="A550" s="39"/>
      <c r="B550" s="40"/>
      <c r="H550" s="38"/>
      <c r="K550" s="38"/>
    </row>
    <row r="551" spans="1:11" ht="15.75" customHeight="1">
      <c r="A551" s="39"/>
      <c r="B551" s="40"/>
      <c r="H551" s="38"/>
      <c r="K551" s="38"/>
    </row>
    <row r="552" spans="1:11" ht="15.75" customHeight="1">
      <c r="A552" s="39"/>
      <c r="B552" s="40"/>
      <c r="H552" s="38"/>
      <c r="K552" s="38"/>
    </row>
    <row r="553" spans="1:11" ht="15.75" customHeight="1">
      <c r="A553" s="39"/>
      <c r="B553" s="40"/>
      <c r="H553" s="38"/>
      <c r="K553" s="38"/>
    </row>
    <row r="554" spans="1:11" ht="15.75" customHeight="1">
      <c r="A554" s="39"/>
      <c r="B554" s="40"/>
      <c r="H554" s="38"/>
      <c r="K554" s="38"/>
    </row>
    <row r="555" spans="1:11" ht="15.75" customHeight="1">
      <c r="A555" s="39"/>
      <c r="B555" s="40"/>
      <c r="H555" s="38"/>
      <c r="K555" s="38"/>
    </row>
    <row r="556" spans="1:11" ht="15.75" customHeight="1">
      <c r="A556" s="39"/>
      <c r="B556" s="40"/>
      <c r="H556" s="38"/>
      <c r="K556" s="38"/>
    </row>
    <row r="557" spans="1:11" ht="15.75" customHeight="1">
      <c r="A557" s="39"/>
      <c r="B557" s="40"/>
      <c r="H557" s="38"/>
      <c r="K557" s="38"/>
    </row>
    <row r="558" spans="1:11" ht="15.75" customHeight="1">
      <c r="A558" s="39"/>
      <c r="B558" s="40"/>
      <c r="H558" s="38"/>
      <c r="K558" s="38"/>
    </row>
    <row r="559" spans="1:11" ht="15.75" customHeight="1">
      <c r="A559" s="39"/>
      <c r="B559" s="40"/>
      <c r="H559" s="38"/>
      <c r="K559" s="38"/>
    </row>
    <row r="560" spans="1:11" ht="15.75" customHeight="1">
      <c r="A560" s="39"/>
      <c r="B560" s="40"/>
      <c r="H560" s="38"/>
      <c r="K560" s="38"/>
    </row>
    <row r="561" spans="1:11" ht="15.75" customHeight="1">
      <c r="A561" s="39"/>
      <c r="B561" s="40"/>
      <c r="H561" s="38"/>
      <c r="K561" s="38"/>
    </row>
    <row r="562" spans="1:11" ht="15.75" customHeight="1">
      <c r="A562" s="39"/>
      <c r="B562" s="40"/>
      <c r="H562" s="38"/>
      <c r="K562" s="38"/>
    </row>
    <row r="563" spans="1:11" ht="15.75" customHeight="1">
      <c r="A563" s="39"/>
      <c r="B563" s="40"/>
      <c r="H563" s="38"/>
      <c r="K563" s="38"/>
    </row>
    <row r="564" spans="1:11" ht="15.75" customHeight="1">
      <c r="A564" s="39"/>
      <c r="B564" s="40"/>
      <c r="H564" s="38"/>
      <c r="K564" s="38"/>
    </row>
    <row r="565" spans="1:11" ht="15.75" customHeight="1">
      <c r="A565" s="39"/>
      <c r="B565" s="40"/>
      <c r="H565" s="38"/>
      <c r="K565" s="38"/>
    </row>
    <row r="566" spans="1:11" ht="15.75" customHeight="1">
      <c r="A566" s="39"/>
      <c r="B566" s="40"/>
      <c r="H566" s="38"/>
      <c r="K566" s="38"/>
    </row>
    <row r="567" spans="1:11" ht="15.75" customHeight="1">
      <c r="A567" s="39"/>
      <c r="B567" s="40"/>
      <c r="H567" s="38"/>
      <c r="K567" s="38"/>
    </row>
    <row r="568" spans="1:11" ht="15.75" customHeight="1">
      <c r="A568" s="39"/>
      <c r="B568" s="40"/>
      <c r="H568" s="38"/>
      <c r="K568" s="38"/>
    </row>
    <row r="569" spans="1:11" ht="15.75" customHeight="1">
      <c r="A569" s="39"/>
      <c r="B569" s="40"/>
      <c r="H569" s="38"/>
      <c r="K569" s="38"/>
    </row>
    <row r="570" spans="1:11" ht="15.75" customHeight="1">
      <c r="A570" s="39"/>
      <c r="B570" s="40"/>
      <c r="H570" s="38"/>
      <c r="K570" s="38"/>
    </row>
    <row r="571" spans="1:11" ht="15.75" customHeight="1">
      <c r="A571" s="39"/>
      <c r="B571" s="40"/>
      <c r="H571" s="38"/>
      <c r="K571" s="38"/>
    </row>
    <row r="572" spans="1:11" ht="15.75" customHeight="1">
      <c r="A572" s="39"/>
      <c r="B572" s="40"/>
      <c r="H572" s="38"/>
      <c r="K572" s="38"/>
    </row>
    <row r="573" spans="1:11" ht="15.75" customHeight="1">
      <c r="A573" s="39"/>
      <c r="B573" s="40"/>
      <c r="H573" s="38"/>
      <c r="K573" s="38"/>
    </row>
    <row r="574" spans="1:11" ht="15.75" customHeight="1">
      <c r="A574" s="39"/>
      <c r="B574" s="40"/>
      <c r="H574" s="38"/>
      <c r="K574" s="38"/>
    </row>
    <row r="575" spans="1:11" ht="15.75" customHeight="1">
      <c r="A575" s="39"/>
      <c r="B575" s="40"/>
      <c r="H575" s="38"/>
      <c r="K575" s="38"/>
    </row>
    <row r="576" spans="1:11" ht="15.75" customHeight="1">
      <c r="A576" s="39"/>
      <c r="B576" s="40"/>
      <c r="H576" s="38"/>
      <c r="K576" s="38"/>
    </row>
    <row r="577" spans="1:11" ht="15.75" customHeight="1">
      <c r="A577" s="39"/>
      <c r="B577" s="40"/>
      <c r="H577" s="38"/>
      <c r="K577" s="38"/>
    </row>
    <row r="578" spans="1:11" ht="15.75" customHeight="1">
      <c r="A578" s="39"/>
      <c r="B578" s="40"/>
      <c r="H578" s="38"/>
      <c r="K578" s="38"/>
    </row>
    <row r="579" spans="1:11" ht="15.75" customHeight="1">
      <c r="A579" s="39"/>
      <c r="B579" s="40"/>
      <c r="H579" s="38"/>
      <c r="K579" s="38"/>
    </row>
    <row r="580" spans="1:11" ht="15.75" customHeight="1">
      <c r="A580" s="39"/>
      <c r="B580" s="40"/>
      <c r="H580" s="38"/>
      <c r="K580" s="38"/>
    </row>
    <row r="581" spans="1:11" ht="15.75" customHeight="1">
      <c r="A581" s="39"/>
      <c r="B581" s="40"/>
      <c r="H581" s="38"/>
      <c r="K581" s="38"/>
    </row>
    <row r="582" spans="1:11" ht="15.75" customHeight="1">
      <c r="A582" s="39"/>
      <c r="B582" s="40"/>
      <c r="H582" s="38"/>
      <c r="K582" s="38"/>
    </row>
    <row r="583" spans="1:11" ht="15.75" customHeight="1">
      <c r="A583" s="39"/>
      <c r="B583" s="40"/>
      <c r="H583" s="38"/>
      <c r="K583" s="38"/>
    </row>
    <row r="584" spans="1:11" ht="15.75" customHeight="1">
      <c r="A584" s="39"/>
      <c r="B584" s="40"/>
      <c r="H584" s="38"/>
      <c r="K584" s="38"/>
    </row>
    <row r="585" spans="1:11" ht="15.75" customHeight="1">
      <c r="A585" s="39"/>
      <c r="B585" s="40"/>
      <c r="H585" s="38"/>
      <c r="K585" s="38"/>
    </row>
    <row r="586" spans="1:11" ht="15.75" customHeight="1">
      <c r="A586" s="39"/>
      <c r="B586" s="40"/>
      <c r="H586" s="38"/>
      <c r="K586" s="38"/>
    </row>
    <row r="587" spans="1:11" ht="15.75" customHeight="1">
      <c r="A587" s="39"/>
      <c r="B587" s="40"/>
      <c r="H587" s="38"/>
      <c r="K587" s="38"/>
    </row>
    <row r="588" spans="1:11" ht="15.75" customHeight="1">
      <c r="A588" s="39"/>
      <c r="B588" s="40"/>
      <c r="H588" s="38"/>
      <c r="K588" s="38"/>
    </row>
    <row r="589" spans="1:11" ht="15.75" customHeight="1">
      <c r="A589" s="39"/>
      <c r="B589" s="40"/>
      <c r="H589" s="38"/>
      <c r="K589" s="38"/>
    </row>
    <row r="590" spans="1:11" ht="15.75" customHeight="1">
      <c r="A590" s="39"/>
      <c r="B590" s="40"/>
      <c r="H590" s="38"/>
      <c r="K590" s="38"/>
    </row>
    <row r="591" spans="1:11" ht="15.75" customHeight="1">
      <c r="A591" s="39"/>
      <c r="B591" s="40"/>
      <c r="H591" s="38"/>
      <c r="K591" s="38"/>
    </row>
    <row r="592" spans="1:11" ht="15.75" customHeight="1">
      <c r="A592" s="39"/>
      <c r="B592" s="40"/>
      <c r="H592" s="38"/>
      <c r="K592" s="38"/>
    </row>
    <row r="593" spans="1:11" ht="15.75" customHeight="1">
      <c r="A593" s="39"/>
      <c r="B593" s="40"/>
      <c r="H593" s="38"/>
      <c r="K593" s="38"/>
    </row>
    <row r="594" spans="1:11" ht="15.75" customHeight="1">
      <c r="A594" s="39"/>
      <c r="B594" s="40"/>
      <c r="H594" s="38"/>
      <c r="K594" s="38"/>
    </row>
    <row r="595" spans="1:11" ht="15.75" customHeight="1">
      <c r="A595" s="39"/>
      <c r="B595" s="40"/>
      <c r="H595" s="38"/>
      <c r="K595" s="38"/>
    </row>
    <row r="596" spans="1:11" ht="15.75" customHeight="1">
      <c r="A596" s="39"/>
      <c r="B596" s="40"/>
      <c r="H596" s="38"/>
      <c r="K596" s="38"/>
    </row>
    <row r="597" spans="1:11" ht="15.75" customHeight="1">
      <c r="A597" s="39"/>
      <c r="B597" s="40"/>
      <c r="H597" s="38"/>
      <c r="K597" s="38"/>
    </row>
    <row r="598" spans="1:11" ht="15.75" customHeight="1">
      <c r="A598" s="39"/>
      <c r="B598" s="40"/>
      <c r="H598" s="38"/>
      <c r="K598" s="38"/>
    </row>
    <row r="599" spans="1:11" ht="15.75" customHeight="1">
      <c r="A599" s="39"/>
      <c r="B599" s="40"/>
      <c r="H599" s="38"/>
      <c r="K599" s="38"/>
    </row>
    <row r="600" spans="1:11" ht="15.75" customHeight="1">
      <c r="A600" s="39"/>
      <c r="B600" s="40"/>
      <c r="H600" s="38"/>
      <c r="K600" s="38"/>
    </row>
    <row r="601" spans="1:11" ht="15.75" customHeight="1">
      <c r="A601" s="39"/>
      <c r="B601" s="40"/>
      <c r="H601" s="38"/>
      <c r="K601" s="38"/>
    </row>
    <row r="602" spans="1:11" ht="15.75" customHeight="1">
      <c r="A602" s="39"/>
      <c r="B602" s="40"/>
      <c r="H602" s="38"/>
      <c r="K602" s="38"/>
    </row>
    <row r="603" spans="1:11" ht="15.75" customHeight="1">
      <c r="A603" s="39"/>
      <c r="B603" s="40"/>
      <c r="H603" s="38"/>
      <c r="K603" s="38"/>
    </row>
    <row r="604" spans="1:11" ht="15.75" customHeight="1">
      <c r="A604" s="39"/>
      <c r="B604" s="40"/>
      <c r="H604" s="38"/>
      <c r="K604" s="38"/>
    </row>
    <row r="605" spans="1:11" ht="15.75" customHeight="1">
      <c r="A605" s="39"/>
      <c r="B605" s="40"/>
      <c r="H605" s="38"/>
      <c r="K605" s="38"/>
    </row>
    <row r="606" spans="1:11" ht="15.75" customHeight="1">
      <c r="A606" s="39"/>
      <c r="B606" s="40"/>
      <c r="H606" s="38"/>
      <c r="K606" s="38"/>
    </row>
    <row r="607" spans="1:11" ht="15.75" customHeight="1">
      <c r="A607" s="39"/>
      <c r="B607" s="40"/>
      <c r="H607" s="38"/>
      <c r="K607" s="38"/>
    </row>
    <row r="608" spans="1:11" ht="15.75" customHeight="1">
      <c r="A608" s="39"/>
      <c r="B608" s="40"/>
      <c r="H608" s="38"/>
      <c r="K608" s="38"/>
    </row>
    <row r="609" spans="1:11" ht="15.75" customHeight="1">
      <c r="A609" s="39"/>
      <c r="B609" s="40"/>
      <c r="H609" s="38"/>
      <c r="K609" s="38"/>
    </row>
    <row r="610" spans="1:11" ht="15.75" customHeight="1">
      <c r="A610" s="39"/>
      <c r="B610" s="40"/>
      <c r="H610" s="38"/>
      <c r="K610" s="38"/>
    </row>
    <row r="611" spans="1:11" ht="15.75" customHeight="1">
      <c r="A611" s="39"/>
      <c r="B611" s="40"/>
      <c r="H611" s="38"/>
      <c r="K611" s="38"/>
    </row>
    <row r="612" spans="1:11" ht="15.75" customHeight="1">
      <c r="A612" s="39"/>
      <c r="B612" s="40"/>
      <c r="H612" s="38"/>
      <c r="K612" s="38"/>
    </row>
    <row r="613" spans="1:11" ht="15.75" customHeight="1">
      <c r="A613" s="39"/>
      <c r="B613" s="40"/>
      <c r="H613" s="38"/>
      <c r="K613" s="38"/>
    </row>
    <row r="614" spans="1:11" ht="15.75" customHeight="1">
      <c r="A614" s="39"/>
      <c r="B614" s="40"/>
      <c r="H614" s="38"/>
      <c r="K614" s="38"/>
    </row>
    <row r="615" spans="1:11" ht="15.75" customHeight="1">
      <c r="A615" s="39"/>
      <c r="B615" s="40"/>
      <c r="H615" s="38"/>
      <c r="K615" s="38"/>
    </row>
    <row r="616" spans="1:11" ht="15.75" customHeight="1">
      <c r="A616" s="39"/>
      <c r="B616" s="40"/>
      <c r="H616" s="38"/>
      <c r="K616" s="38"/>
    </row>
    <row r="617" spans="1:11" ht="15.75" customHeight="1">
      <c r="A617" s="39"/>
      <c r="B617" s="40"/>
      <c r="H617" s="38"/>
      <c r="K617" s="38"/>
    </row>
    <row r="618" spans="1:11" ht="15.75" customHeight="1">
      <c r="A618" s="39"/>
      <c r="B618" s="40"/>
      <c r="H618" s="38"/>
      <c r="K618" s="38"/>
    </row>
    <row r="619" spans="1:11" ht="15.75" customHeight="1">
      <c r="A619" s="39"/>
      <c r="B619" s="40"/>
      <c r="H619" s="38"/>
      <c r="K619" s="38"/>
    </row>
    <row r="620" spans="1:11" ht="15.75" customHeight="1">
      <c r="A620" s="39"/>
      <c r="B620" s="40"/>
      <c r="H620" s="38"/>
      <c r="K620" s="38"/>
    </row>
    <row r="621" spans="1:11" ht="15.75" customHeight="1">
      <c r="A621" s="39"/>
      <c r="B621" s="40"/>
      <c r="H621" s="38"/>
      <c r="K621" s="38"/>
    </row>
    <row r="622" spans="1:11" ht="15.75" customHeight="1">
      <c r="A622" s="39"/>
      <c r="B622" s="40"/>
      <c r="H622" s="38"/>
      <c r="K622" s="38"/>
    </row>
    <row r="623" spans="1:11" ht="15.75" customHeight="1">
      <c r="A623" s="39"/>
      <c r="B623" s="40"/>
      <c r="H623" s="38"/>
      <c r="K623" s="38"/>
    </row>
    <row r="624" spans="1:11" ht="15.75" customHeight="1">
      <c r="A624" s="39"/>
      <c r="B624" s="40"/>
      <c r="H624" s="38"/>
      <c r="K624" s="38"/>
    </row>
    <row r="625" spans="1:11" ht="15.75" customHeight="1">
      <c r="A625" s="39"/>
      <c r="B625" s="40"/>
      <c r="H625" s="38"/>
      <c r="K625" s="38"/>
    </row>
    <row r="626" spans="1:11" ht="15.75" customHeight="1">
      <c r="A626" s="39"/>
      <c r="B626" s="40"/>
      <c r="H626" s="38"/>
      <c r="K626" s="38"/>
    </row>
    <row r="627" spans="1:11" ht="15.75" customHeight="1">
      <c r="A627" s="39"/>
      <c r="B627" s="40"/>
      <c r="H627" s="38"/>
      <c r="K627" s="38"/>
    </row>
    <row r="628" spans="1:11" ht="15.75" customHeight="1">
      <c r="A628" s="39"/>
      <c r="B628" s="40"/>
      <c r="H628" s="38"/>
      <c r="K628" s="38"/>
    </row>
    <row r="629" spans="1:11" ht="15.75" customHeight="1">
      <c r="A629" s="39"/>
      <c r="B629" s="40"/>
      <c r="H629" s="38"/>
      <c r="K629" s="38"/>
    </row>
    <row r="630" spans="1:11" ht="15.75" customHeight="1">
      <c r="A630" s="39"/>
      <c r="B630" s="40"/>
      <c r="H630" s="38"/>
      <c r="K630" s="38"/>
    </row>
    <row r="631" spans="1:11" ht="15.75" customHeight="1">
      <c r="A631" s="39"/>
      <c r="B631" s="40"/>
      <c r="H631" s="38"/>
      <c r="K631" s="38"/>
    </row>
    <row r="632" spans="1:11" ht="15.75" customHeight="1">
      <c r="A632" s="39"/>
      <c r="B632" s="40"/>
      <c r="H632" s="38"/>
      <c r="K632" s="38"/>
    </row>
    <row r="633" spans="1:11" ht="15.75" customHeight="1">
      <c r="A633" s="39"/>
      <c r="B633" s="40"/>
      <c r="H633" s="38"/>
      <c r="K633" s="38"/>
    </row>
    <row r="634" spans="1:11" ht="15.75" customHeight="1">
      <c r="A634" s="39"/>
      <c r="B634" s="40"/>
      <c r="H634" s="38"/>
      <c r="K634" s="38"/>
    </row>
    <row r="635" spans="1:11" ht="15.75" customHeight="1">
      <c r="A635" s="39"/>
      <c r="B635" s="40"/>
      <c r="H635" s="38"/>
      <c r="K635" s="38"/>
    </row>
    <row r="636" spans="1:11" ht="15.75" customHeight="1">
      <c r="A636" s="39"/>
      <c r="B636" s="40"/>
      <c r="H636" s="38"/>
      <c r="K636" s="38"/>
    </row>
    <row r="637" spans="1:11" ht="15.75" customHeight="1">
      <c r="A637" s="39"/>
      <c r="B637" s="40"/>
      <c r="H637" s="38"/>
      <c r="K637" s="38"/>
    </row>
    <row r="638" spans="1:11" ht="15.75" customHeight="1">
      <c r="A638" s="39"/>
      <c r="B638" s="40"/>
      <c r="H638" s="38"/>
      <c r="K638" s="38"/>
    </row>
    <row r="639" spans="1:11" ht="15.75" customHeight="1">
      <c r="A639" s="39"/>
      <c r="B639" s="40"/>
      <c r="H639" s="38"/>
      <c r="K639" s="38"/>
    </row>
    <row r="640" spans="1:11" ht="15.75" customHeight="1">
      <c r="A640" s="39"/>
      <c r="B640" s="40"/>
      <c r="H640" s="38"/>
      <c r="K640" s="38"/>
    </row>
    <row r="641" spans="1:11" ht="15.75" customHeight="1">
      <c r="A641" s="39"/>
      <c r="B641" s="40"/>
      <c r="H641" s="38"/>
      <c r="K641" s="38"/>
    </row>
    <row r="642" spans="1:11" ht="15.75" customHeight="1">
      <c r="A642" s="39"/>
      <c r="B642" s="40"/>
      <c r="H642" s="38"/>
      <c r="K642" s="38"/>
    </row>
    <row r="643" spans="1:11" ht="15.75" customHeight="1">
      <c r="A643" s="39"/>
      <c r="B643" s="40"/>
      <c r="H643" s="38"/>
      <c r="K643" s="38"/>
    </row>
    <row r="644" spans="1:11" ht="15.75" customHeight="1">
      <c r="A644" s="39"/>
      <c r="B644" s="40"/>
      <c r="H644" s="38"/>
      <c r="K644" s="38"/>
    </row>
    <row r="645" spans="1:11" ht="15.75" customHeight="1">
      <c r="A645" s="39"/>
      <c r="B645" s="40"/>
      <c r="H645" s="38"/>
      <c r="K645" s="38"/>
    </row>
    <row r="646" spans="1:11" ht="15.75" customHeight="1">
      <c r="A646" s="39"/>
      <c r="B646" s="40"/>
      <c r="H646" s="38"/>
      <c r="K646" s="38"/>
    </row>
    <row r="647" spans="1:11" ht="15.75" customHeight="1">
      <c r="A647" s="39"/>
      <c r="B647" s="40"/>
      <c r="H647" s="38"/>
      <c r="K647" s="38"/>
    </row>
    <row r="648" spans="1:11" ht="15.75" customHeight="1">
      <c r="A648" s="39"/>
      <c r="B648" s="40"/>
      <c r="H648" s="38"/>
      <c r="K648" s="38"/>
    </row>
    <row r="649" spans="1:11" ht="15.75" customHeight="1">
      <c r="A649" s="39"/>
      <c r="B649" s="40"/>
      <c r="H649" s="38"/>
      <c r="K649" s="38"/>
    </row>
    <row r="650" spans="1:11" ht="15.75" customHeight="1">
      <c r="A650" s="39"/>
      <c r="B650" s="40"/>
      <c r="H650" s="38"/>
      <c r="K650" s="38"/>
    </row>
    <row r="651" spans="1:11" ht="15.75" customHeight="1">
      <c r="A651" s="39"/>
      <c r="B651" s="40"/>
      <c r="H651" s="38"/>
      <c r="K651" s="38"/>
    </row>
    <row r="652" spans="1:11" ht="15.75" customHeight="1">
      <c r="A652" s="39"/>
      <c r="B652" s="40"/>
      <c r="H652" s="38"/>
      <c r="K652" s="38"/>
    </row>
    <row r="653" spans="1:11" ht="15.75" customHeight="1">
      <c r="A653" s="39"/>
      <c r="B653" s="40"/>
      <c r="H653" s="38"/>
      <c r="K653" s="38"/>
    </row>
    <row r="654" spans="1:11" ht="15.75" customHeight="1">
      <c r="A654" s="39"/>
      <c r="B654" s="40"/>
      <c r="H654" s="38"/>
      <c r="K654" s="38"/>
    </row>
    <row r="655" spans="1:11" ht="15.75" customHeight="1">
      <c r="A655" s="39"/>
      <c r="B655" s="40"/>
      <c r="H655" s="38"/>
      <c r="K655" s="38"/>
    </row>
    <row r="656" spans="1:11" ht="15.75" customHeight="1">
      <c r="A656" s="39"/>
      <c r="B656" s="40"/>
      <c r="H656" s="38"/>
      <c r="K656" s="38"/>
    </row>
    <row r="657" spans="1:11" ht="15.75" customHeight="1">
      <c r="A657" s="39"/>
      <c r="B657" s="40"/>
      <c r="H657" s="38"/>
      <c r="K657" s="38"/>
    </row>
    <row r="658" spans="1:11" ht="15.75" customHeight="1">
      <c r="A658" s="39"/>
      <c r="B658" s="40"/>
      <c r="H658" s="38"/>
      <c r="K658" s="38"/>
    </row>
    <row r="659" spans="1:11" ht="15.75" customHeight="1">
      <c r="A659" s="39"/>
      <c r="B659" s="40"/>
      <c r="H659" s="38"/>
      <c r="K659" s="38"/>
    </row>
    <row r="660" spans="1:11" ht="15.75" customHeight="1">
      <c r="A660" s="39"/>
      <c r="B660" s="40"/>
      <c r="H660" s="38"/>
      <c r="K660" s="38"/>
    </row>
    <row r="661" spans="1:11" ht="15.75" customHeight="1">
      <c r="A661" s="39"/>
      <c r="B661" s="40"/>
      <c r="H661" s="38"/>
      <c r="K661" s="38"/>
    </row>
    <row r="662" spans="1:11" ht="15.75" customHeight="1">
      <c r="A662" s="39"/>
      <c r="B662" s="40"/>
      <c r="H662" s="38"/>
      <c r="K662" s="38"/>
    </row>
    <row r="663" spans="1:11" ht="15.75" customHeight="1">
      <c r="A663" s="39"/>
      <c r="B663" s="40"/>
      <c r="H663" s="38"/>
      <c r="K663" s="38"/>
    </row>
    <row r="664" spans="1:11" ht="15.75" customHeight="1">
      <c r="A664" s="39"/>
      <c r="B664" s="40"/>
      <c r="H664" s="38"/>
      <c r="K664" s="38"/>
    </row>
    <row r="665" spans="1:11" ht="15.75" customHeight="1">
      <c r="A665" s="39"/>
      <c r="B665" s="40"/>
      <c r="H665" s="38"/>
      <c r="K665" s="38"/>
    </row>
    <row r="666" spans="1:11" ht="15.75" customHeight="1">
      <c r="A666" s="39"/>
      <c r="B666" s="40"/>
      <c r="H666" s="38"/>
      <c r="K666" s="38"/>
    </row>
    <row r="667" spans="1:11" ht="15.75" customHeight="1">
      <c r="A667" s="39"/>
      <c r="B667" s="40"/>
      <c r="H667" s="38"/>
      <c r="K667" s="38"/>
    </row>
    <row r="668" spans="1:11" ht="15.75" customHeight="1">
      <c r="A668" s="39"/>
      <c r="B668" s="40"/>
      <c r="H668" s="38"/>
      <c r="K668" s="38"/>
    </row>
    <row r="669" spans="1:11" ht="15.75" customHeight="1">
      <c r="A669" s="39"/>
      <c r="B669" s="40"/>
      <c r="H669" s="38"/>
      <c r="K669" s="38"/>
    </row>
    <row r="670" spans="1:11" ht="15.75" customHeight="1">
      <c r="A670" s="39"/>
      <c r="B670" s="40"/>
      <c r="H670" s="38"/>
      <c r="K670" s="38"/>
    </row>
    <row r="671" spans="1:11" ht="15.75" customHeight="1">
      <c r="A671" s="39"/>
      <c r="B671" s="40"/>
      <c r="H671" s="38"/>
      <c r="K671" s="38"/>
    </row>
    <row r="672" spans="1:11" ht="15.75" customHeight="1">
      <c r="A672" s="39"/>
      <c r="B672" s="40"/>
      <c r="H672" s="38"/>
      <c r="K672" s="38"/>
    </row>
    <row r="673" spans="1:11" ht="15.75" customHeight="1">
      <c r="A673" s="39"/>
      <c r="B673" s="40"/>
      <c r="H673" s="38"/>
      <c r="K673" s="38"/>
    </row>
    <row r="674" spans="1:11" ht="15.75" customHeight="1">
      <c r="A674" s="39"/>
      <c r="B674" s="40"/>
      <c r="H674" s="38"/>
      <c r="K674" s="38"/>
    </row>
    <row r="675" spans="1:11" ht="15.75" customHeight="1">
      <c r="A675" s="39"/>
      <c r="B675" s="40"/>
      <c r="H675" s="38"/>
      <c r="K675" s="38"/>
    </row>
    <row r="676" spans="1:11" ht="15.75" customHeight="1">
      <c r="A676" s="39"/>
      <c r="B676" s="40"/>
      <c r="H676" s="38"/>
      <c r="K676" s="38"/>
    </row>
    <row r="677" spans="1:11" ht="15.75" customHeight="1">
      <c r="A677" s="39"/>
      <c r="B677" s="40"/>
      <c r="H677" s="38"/>
      <c r="K677" s="38"/>
    </row>
    <row r="678" spans="1:11" ht="15.75" customHeight="1">
      <c r="A678" s="39"/>
      <c r="B678" s="40"/>
      <c r="H678" s="38"/>
      <c r="K678" s="38"/>
    </row>
    <row r="679" spans="1:11" ht="15.75" customHeight="1">
      <c r="A679" s="39"/>
      <c r="B679" s="40"/>
      <c r="H679" s="38"/>
      <c r="K679" s="38"/>
    </row>
    <row r="680" spans="1:11" ht="15.75" customHeight="1">
      <c r="A680" s="39"/>
      <c r="B680" s="40"/>
      <c r="H680" s="38"/>
      <c r="K680" s="38"/>
    </row>
    <row r="681" spans="1:11" ht="15.75" customHeight="1">
      <c r="A681" s="39"/>
      <c r="B681" s="40"/>
      <c r="H681" s="38"/>
      <c r="K681" s="38"/>
    </row>
    <row r="682" spans="1:11" ht="15.75" customHeight="1">
      <c r="A682" s="39"/>
      <c r="B682" s="40"/>
      <c r="H682" s="38"/>
      <c r="K682" s="38"/>
    </row>
    <row r="683" spans="1:11" ht="15.75" customHeight="1">
      <c r="A683" s="39"/>
      <c r="B683" s="40"/>
      <c r="H683" s="38"/>
      <c r="K683" s="38"/>
    </row>
    <row r="684" spans="1:11" ht="15.75" customHeight="1">
      <c r="A684" s="39"/>
      <c r="B684" s="40"/>
      <c r="H684" s="38"/>
      <c r="K684" s="38"/>
    </row>
    <row r="685" spans="1:11" ht="15.75" customHeight="1">
      <c r="A685" s="39"/>
      <c r="B685" s="40"/>
      <c r="H685" s="38"/>
      <c r="K685" s="38"/>
    </row>
    <row r="686" spans="1:11" ht="15.75" customHeight="1">
      <c r="A686" s="39"/>
      <c r="B686" s="40"/>
      <c r="H686" s="38"/>
      <c r="K686" s="38"/>
    </row>
    <row r="687" spans="1:11" ht="15.75" customHeight="1">
      <c r="A687" s="39"/>
      <c r="B687" s="40"/>
      <c r="H687" s="38"/>
      <c r="K687" s="38"/>
    </row>
    <row r="688" spans="1:11" ht="15.75" customHeight="1">
      <c r="A688" s="39"/>
      <c r="B688" s="40"/>
      <c r="H688" s="38"/>
      <c r="K688" s="38"/>
    </row>
    <row r="689" spans="1:11" ht="15.75" customHeight="1">
      <c r="A689" s="39"/>
      <c r="B689" s="40"/>
      <c r="H689" s="38"/>
      <c r="K689" s="38"/>
    </row>
    <row r="690" spans="1:11" ht="15.75" customHeight="1">
      <c r="A690" s="39"/>
      <c r="B690" s="40"/>
      <c r="H690" s="38"/>
      <c r="K690" s="38"/>
    </row>
    <row r="691" spans="1:11" ht="15.75" customHeight="1">
      <c r="A691" s="39"/>
      <c r="B691" s="40"/>
      <c r="H691" s="38"/>
      <c r="K691" s="38"/>
    </row>
    <row r="692" spans="1:11" ht="15.75" customHeight="1">
      <c r="A692" s="39"/>
      <c r="B692" s="40"/>
      <c r="H692" s="38"/>
      <c r="K692" s="38"/>
    </row>
    <row r="693" spans="1:11" ht="15.75" customHeight="1">
      <c r="A693" s="39"/>
      <c r="B693" s="40"/>
      <c r="H693" s="38"/>
      <c r="K693" s="38"/>
    </row>
    <row r="694" spans="1:11" ht="15.75" customHeight="1">
      <c r="A694" s="39"/>
      <c r="B694" s="40"/>
      <c r="H694" s="38"/>
      <c r="K694" s="38"/>
    </row>
    <row r="695" spans="1:11" ht="15.75" customHeight="1">
      <c r="A695" s="39"/>
      <c r="B695" s="40"/>
      <c r="H695" s="38"/>
      <c r="K695" s="38"/>
    </row>
    <row r="696" spans="1:11" ht="15.75" customHeight="1">
      <c r="A696" s="39"/>
      <c r="B696" s="40"/>
      <c r="H696" s="38"/>
      <c r="K696" s="38"/>
    </row>
    <row r="697" spans="1:11" ht="15.75" customHeight="1">
      <c r="A697" s="39"/>
      <c r="B697" s="40"/>
      <c r="H697" s="38"/>
      <c r="K697" s="38"/>
    </row>
    <row r="698" spans="1:11" ht="15.75" customHeight="1">
      <c r="A698" s="39"/>
      <c r="B698" s="40"/>
      <c r="H698" s="38"/>
      <c r="K698" s="38"/>
    </row>
    <row r="699" spans="1:11" ht="15.75" customHeight="1">
      <c r="A699" s="39"/>
      <c r="B699" s="40"/>
      <c r="H699" s="38"/>
      <c r="K699" s="38"/>
    </row>
    <row r="700" spans="1:11" ht="15.75" customHeight="1">
      <c r="A700" s="39"/>
      <c r="B700" s="40"/>
      <c r="H700" s="38"/>
      <c r="K700" s="38"/>
    </row>
    <row r="701" spans="1:11" ht="15.75" customHeight="1">
      <c r="A701" s="39"/>
      <c r="B701" s="40"/>
      <c r="H701" s="38"/>
      <c r="K701" s="38"/>
    </row>
    <row r="702" spans="1:11" ht="15.75" customHeight="1">
      <c r="A702" s="39"/>
      <c r="B702" s="40"/>
      <c r="H702" s="38"/>
      <c r="K702" s="38"/>
    </row>
    <row r="703" spans="1:11" ht="15.75" customHeight="1">
      <c r="A703" s="39"/>
      <c r="B703" s="40"/>
      <c r="H703" s="38"/>
      <c r="K703" s="38"/>
    </row>
    <row r="704" spans="1:11" ht="15.75" customHeight="1">
      <c r="A704" s="39"/>
      <c r="B704" s="40"/>
      <c r="H704" s="38"/>
      <c r="K704" s="38"/>
    </row>
    <row r="705" spans="1:11" ht="15.75" customHeight="1">
      <c r="A705" s="39"/>
      <c r="B705" s="40"/>
      <c r="H705" s="38"/>
      <c r="K705" s="38"/>
    </row>
    <row r="706" spans="1:11" ht="15.75" customHeight="1">
      <c r="A706" s="39"/>
      <c r="B706" s="40"/>
      <c r="H706" s="38"/>
      <c r="K706" s="38"/>
    </row>
    <row r="707" spans="1:11" ht="15.75" customHeight="1">
      <c r="A707" s="39"/>
      <c r="B707" s="40"/>
      <c r="H707" s="38"/>
      <c r="K707" s="38"/>
    </row>
    <row r="708" spans="1:11" ht="15.75" customHeight="1">
      <c r="A708" s="39"/>
      <c r="B708" s="40"/>
      <c r="H708" s="38"/>
      <c r="K708" s="38"/>
    </row>
    <row r="709" spans="1:11" ht="15.75" customHeight="1">
      <c r="A709" s="39"/>
      <c r="B709" s="40"/>
      <c r="H709" s="38"/>
      <c r="K709" s="38"/>
    </row>
    <row r="710" spans="1:11" ht="15.75" customHeight="1">
      <c r="A710" s="39"/>
      <c r="B710" s="40"/>
      <c r="H710" s="38"/>
      <c r="K710" s="38"/>
    </row>
    <row r="711" spans="1:11" ht="15.75" customHeight="1">
      <c r="A711" s="39"/>
      <c r="B711" s="40"/>
      <c r="H711" s="38"/>
      <c r="K711" s="38"/>
    </row>
    <row r="712" spans="1:11" ht="15.75" customHeight="1">
      <c r="A712" s="39"/>
      <c r="B712" s="40"/>
      <c r="H712" s="38"/>
      <c r="K712" s="38"/>
    </row>
    <row r="713" spans="1:11" ht="15.75" customHeight="1">
      <c r="A713" s="39"/>
      <c r="B713" s="40"/>
      <c r="H713" s="38"/>
      <c r="K713" s="38"/>
    </row>
    <row r="714" spans="1:11" ht="15.75" customHeight="1">
      <c r="A714" s="39"/>
      <c r="B714" s="40"/>
      <c r="H714" s="38"/>
      <c r="K714" s="38"/>
    </row>
    <row r="715" spans="1:11" ht="15.75" customHeight="1">
      <c r="A715" s="39"/>
      <c r="B715" s="40"/>
      <c r="H715" s="38"/>
      <c r="K715" s="38"/>
    </row>
    <row r="716" spans="1:11" ht="15.75" customHeight="1">
      <c r="A716" s="39"/>
      <c r="B716" s="40"/>
      <c r="H716" s="38"/>
      <c r="K716" s="38"/>
    </row>
    <row r="717" spans="1:11" ht="15.75" customHeight="1">
      <c r="A717" s="39"/>
      <c r="B717" s="40"/>
      <c r="H717" s="38"/>
      <c r="K717" s="38"/>
    </row>
    <row r="718" spans="1:11" ht="15.75" customHeight="1">
      <c r="A718" s="39"/>
      <c r="B718" s="40"/>
      <c r="H718" s="38"/>
      <c r="K718" s="38"/>
    </row>
    <row r="719" spans="1:11" ht="15.75" customHeight="1">
      <c r="A719" s="39"/>
      <c r="B719" s="40"/>
      <c r="H719" s="38"/>
      <c r="K719" s="38"/>
    </row>
    <row r="720" spans="1:11" ht="15.75" customHeight="1">
      <c r="A720" s="39"/>
      <c r="B720" s="40"/>
      <c r="H720" s="38"/>
      <c r="K720" s="38"/>
    </row>
    <row r="721" spans="1:11" ht="15.75" customHeight="1">
      <c r="A721" s="39"/>
      <c r="B721" s="40"/>
      <c r="H721" s="38"/>
      <c r="K721" s="38"/>
    </row>
    <row r="722" spans="1:11" ht="15.75" customHeight="1">
      <c r="A722" s="39"/>
      <c r="B722" s="40"/>
      <c r="H722" s="38"/>
      <c r="K722" s="38"/>
    </row>
    <row r="723" spans="1:11" ht="15.75" customHeight="1">
      <c r="A723" s="39"/>
      <c r="B723" s="40"/>
      <c r="H723" s="38"/>
      <c r="K723" s="38"/>
    </row>
    <row r="724" spans="1:11" ht="15.75" customHeight="1">
      <c r="A724" s="39"/>
      <c r="B724" s="40"/>
      <c r="H724" s="38"/>
      <c r="K724" s="38"/>
    </row>
    <row r="725" spans="1:11" ht="15.75" customHeight="1">
      <c r="A725" s="39"/>
      <c r="B725" s="40"/>
      <c r="H725" s="38"/>
      <c r="K725" s="38"/>
    </row>
    <row r="726" spans="1:11" ht="15.75" customHeight="1">
      <c r="A726" s="39"/>
      <c r="B726" s="40"/>
      <c r="H726" s="38"/>
      <c r="K726" s="38"/>
    </row>
    <row r="727" spans="1:11" ht="15.75" customHeight="1">
      <c r="A727" s="39"/>
      <c r="B727" s="40"/>
      <c r="H727" s="38"/>
      <c r="K727" s="38"/>
    </row>
    <row r="728" spans="1:11" ht="15.75" customHeight="1">
      <c r="A728" s="39"/>
      <c r="B728" s="40"/>
      <c r="H728" s="38"/>
      <c r="K728" s="38"/>
    </row>
    <row r="729" spans="1:11" ht="15.75" customHeight="1">
      <c r="A729" s="39"/>
      <c r="B729" s="40"/>
      <c r="H729" s="38"/>
      <c r="K729" s="38"/>
    </row>
    <row r="730" spans="1:11" ht="15.75" customHeight="1">
      <c r="A730" s="39"/>
      <c r="B730" s="40"/>
      <c r="H730" s="38"/>
      <c r="K730" s="38"/>
    </row>
    <row r="731" spans="1:11" ht="15.75" customHeight="1">
      <c r="A731" s="39"/>
      <c r="B731" s="40"/>
      <c r="H731" s="38"/>
      <c r="K731" s="38"/>
    </row>
    <row r="732" spans="1:11" ht="15.75" customHeight="1">
      <c r="A732" s="39"/>
      <c r="B732" s="40"/>
      <c r="H732" s="38"/>
      <c r="K732" s="38"/>
    </row>
    <row r="733" spans="1:11" ht="15.75" customHeight="1">
      <c r="A733" s="39"/>
      <c r="B733" s="40"/>
      <c r="H733" s="38"/>
      <c r="K733" s="38"/>
    </row>
    <row r="734" spans="1:11" ht="15.75" customHeight="1">
      <c r="A734" s="39"/>
      <c r="B734" s="40"/>
      <c r="H734" s="38"/>
      <c r="K734" s="38"/>
    </row>
    <row r="735" spans="1:11" ht="15.75" customHeight="1">
      <c r="A735" s="39"/>
      <c r="B735" s="40"/>
      <c r="H735" s="38"/>
      <c r="K735" s="38"/>
    </row>
    <row r="736" spans="1:11" ht="15.75" customHeight="1">
      <c r="A736" s="39"/>
      <c r="B736" s="40"/>
      <c r="H736" s="38"/>
      <c r="K736" s="38"/>
    </row>
    <row r="737" spans="1:11" ht="15.75" customHeight="1">
      <c r="A737" s="39"/>
      <c r="B737" s="40"/>
      <c r="H737" s="38"/>
      <c r="K737" s="38"/>
    </row>
    <row r="738" spans="1:11" ht="15.75" customHeight="1">
      <c r="A738" s="39"/>
      <c r="B738" s="40"/>
      <c r="H738" s="38"/>
      <c r="K738" s="38"/>
    </row>
    <row r="739" spans="1:11" ht="15.75" customHeight="1">
      <c r="A739" s="39"/>
      <c r="B739" s="40"/>
      <c r="H739" s="38"/>
      <c r="K739" s="38"/>
    </row>
    <row r="740" spans="1:11" ht="15.75" customHeight="1">
      <c r="A740" s="39"/>
      <c r="B740" s="40"/>
      <c r="H740" s="38"/>
      <c r="K740" s="38"/>
    </row>
    <row r="741" spans="1:11" ht="15.75" customHeight="1">
      <c r="A741" s="39"/>
      <c r="B741" s="40"/>
      <c r="H741" s="38"/>
      <c r="K741" s="38"/>
    </row>
    <row r="742" spans="1:11" ht="15.75" customHeight="1">
      <c r="A742" s="39"/>
      <c r="B742" s="40"/>
      <c r="H742" s="38"/>
      <c r="K742" s="38"/>
    </row>
    <row r="743" spans="1:11" ht="15.75" customHeight="1">
      <c r="A743" s="39"/>
      <c r="B743" s="40"/>
      <c r="H743" s="38"/>
      <c r="K743" s="38"/>
    </row>
    <row r="744" spans="1:11" ht="15.75" customHeight="1">
      <c r="A744" s="39"/>
      <c r="B744" s="40"/>
      <c r="H744" s="38"/>
      <c r="K744" s="38"/>
    </row>
    <row r="745" spans="1:11" ht="15.75" customHeight="1">
      <c r="A745" s="39"/>
      <c r="B745" s="40"/>
      <c r="H745" s="38"/>
      <c r="K745" s="38"/>
    </row>
    <row r="746" spans="1:11" ht="15.75" customHeight="1">
      <c r="A746" s="39"/>
      <c r="B746" s="40"/>
      <c r="H746" s="38"/>
      <c r="K746" s="38"/>
    </row>
    <row r="747" spans="1:11" ht="15.75" customHeight="1">
      <c r="A747" s="39"/>
      <c r="B747" s="40"/>
      <c r="H747" s="38"/>
      <c r="K747" s="38"/>
    </row>
    <row r="748" spans="1:11" ht="15.75" customHeight="1">
      <c r="A748" s="39"/>
      <c r="B748" s="40"/>
      <c r="H748" s="38"/>
      <c r="K748" s="38"/>
    </row>
    <row r="749" spans="1:11" ht="15.75" customHeight="1">
      <c r="A749" s="39"/>
      <c r="B749" s="40"/>
      <c r="H749" s="38"/>
      <c r="K749" s="38"/>
    </row>
    <row r="750" spans="1:11" ht="15.75" customHeight="1">
      <c r="A750" s="39"/>
      <c r="B750" s="40"/>
      <c r="H750" s="38"/>
      <c r="K750" s="38"/>
    </row>
    <row r="751" spans="1:11" ht="15.75" customHeight="1">
      <c r="A751" s="39"/>
      <c r="B751" s="40"/>
      <c r="H751" s="38"/>
      <c r="K751" s="38"/>
    </row>
    <row r="752" spans="1:11" ht="15.75" customHeight="1">
      <c r="A752" s="39"/>
      <c r="B752" s="40"/>
      <c r="H752" s="38"/>
      <c r="K752" s="38"/>
    </row>
    <row r="753" spans="1:11" ht="15.75" customHeight="1">
      <c r="A753" s="39"/>
      <c r="B753" s="40"/>
      <c r="H753" s="38"/>
      <c r="K753" s="38"/>
    </row>
    <row r="754" spans="1:11" ht="15.75" customHeight="1">
      <c r="A754" s="39"/>
      <c r="B754" s="40"/>
      <c r="H754" s="38"/>
      <c r="K754" s="38"/>
    </row>
    <row r="755" spans="1:11" ht="15.75" customHeight="1">
      <c r="A755" s="39"/>
      <c r="B755" s="40"/>
      <c r="H755" s="38"/>
      <c r="K755" s="38"/>
    </row>
    <row r="756" spans="1:11" ht="15.75" customHeight="1">
      <c r="A756" s="39"/>
      <c r="B756" s="40"/>
      <c r="H756" s="38"/>
      <c r="K756" s="38"/>
    </row>
    <row r="757" spans="1:11" ht="15.75" customHeight="1">
      <c r="A757" s="39"/>
      <c r="B757" s="40"/>
      <c r="H757" s="38"/>
      <c r="K757" s="38"/>
    </row>
    <row r="758" spans="1:11" ht="15.75" customHeight="1">
      <c r="A758" s="39"/>
      <c r="B758" s="40"/>
      <c r="H758" s="38"/>
      <c r="K758" s="38"/>
    </row>
    <row r="759" spans="1:11" ht="15.75" customHeight="1">
      <c r="A759" s="39"/>
      <c r="B759" s="40"/>
      <c r="H759" s="38"/>
      <c r="K759" s="38"/>
    </row>
    <row r="760" spans="1:11" ht="15.75" customHeight="1">
      <c r="A760" s="39"/>
      <c r="B760" s="40"/>
      <c r="H760" s="38"/>
      <c r="K760" s="38"/>
    </row>
    <row r="761" spans="1:11" ht="15.75" customHeight="1">
      <c r="A761" s="39"/>
      <c r="B761" s="40"/>
      <c r="H761" s="38"/>
      <c r="K761" s="38"/>
    </row>
    <row r="762" spans="1:11" ht="15.75" customHeight="1">
      <c r="A762" s="39"/>
      <c r="B762" s="40"/>
      <c r="H762" s="38"/>
      <c r="K762" s="38"/>
    </row>
    <row r="763" spans="1:11" ht="15.75" customHeight="1">
      <c r="A763" s="39"/>
      <c r="B763" s="40"/>
      <c r="H763" s="38"/>
      <c r="K763" s="38"/>
    </row>
    <row r="764" spans="1:11" ht="15.75" customHeight="1">
      <c r="A764" s="39"/>
      <c r="B764" s="40"/>
      <c r="H764" s="38"/>
      <c r="K764" s="38"/>
    </row>
    <row r="765" spans="1:11" ht="15.75" customHeight="1">
      <c r="A765" s="39"/>
      <c r="B765" s="40"/>
      <c r="H765" s="38"/>
      <c r="K765" s="38"/>
    </row>
    <row r="766" spans="1:11" ht="15.75" customHeight="1">
      <c r="A766" s="39"/>
      <c r="B766" s="40"/>
      <c r="H766" s="38"/>
      <c r="K766" s="38"/>
    </row>
    <row r="767" spans="1:11" ht="15.75" customHeight="1">
      <c r="A767" s="39"/>
      <c r="B767" s="40"/>
      <c r="H767" s="38"/>
      <c r="K767" s="38"/>
    </row>
    <row r="768" spans="1:11" ht="15.75" customHeight="1">
      <c r="A768" s="39"/>
      <c r="B768" s="40"/>
      <c r="H768" s="38"/>
      <c r="K768" s="38"/>
    </row>
    <row r="769" spans="1:11" ht="15.75" customHeight="1">
      <c r="A769" s="39"/>
      <c r="B769" s="40"/>
      <c r="H769" s="38"/>
      <c r="K769" s="38"/>
    </row>
    <row r="770" spans="1:11" ht="15.75" customHeight="1">
      <c r="A770" s="39"/>
      <c r="B770" s="40"/>
      <c r="H770" s="38"/>
      <c r="K770" s="38"/>
    </row>
    <row r="771" spans="1:11" ht="15.75" customHeight="1">
      <c r="A771" s="39"/>
      <c r="B771" s="40"/>
      <c r="H771" s="38"/>
      <c r="K771" s="38"/>
    </row>
    <row r="772" spans="1:11" ht="15.75" customHeight="1">
      <c r="A772" s="39"/>
      <c r="B772" s="40"/>
      <c r="H772" s="38"/>
      <c r="K772" s="38"/>
    </row>
    <row r="773" spans="1:11" ht="15.75" customHeight="1">
      <c r="A773" s="39"/>
      <c r="B773" s="40"/>
      <c r="H773" s="38"/>
      <c r="K773" s="38"/>
    </row>
    <row r="774" spans="1:11" ht="15.75" customHeight="1">
      <c r="A774" s="39"/>
      <c r="B774" s="40"/>
      <c r="H774" s="38"/>
      <c r="K774" s="38"/>
    </row>
    <row r="775" spans="1:11" ht="15.75" customHeight="1">
      <c r="A775" s="39"/>
      <c r="B775" s="40"/>
      <c r="H775" s="38"/>
      <c r="K775" s="38"/>
    </row>
    <row r="776" spans="1:11" ht="15.75" customHeight="1">
      <c r="A776" s="39"/>
      <c r="B776" s="40"/>
      <c r="H776" s="38"/>
      <c r="K776" s="38"/>
    </row>
    <row r="777" spans="1:11" ht="15.75" customHeight="1">
      <c r="A777" s="39"/>
      <c r="B777" s="40"/>
      <c r="H777" s="38"/>
      <c r="K777" s="38"/>
    </row>
    <row r="778" spans="1:11" ht="15.75" customHeight="1">
      <c r="A778" s="39"/>
      <c r="B778" s="40"/>
      <c r="H778" s="38"/>
      <c r="K778" s="38"/>
    </row>
    <row r="779" spans="1:11" ht="15.75" customHeight="1">
      <c r="A779" s="39"/>
      <c r="B779" s="40"/>
      <c r="H779" s="38"/>
      <c r="K779" s="38"/>
    </row>
    <row r="780" spans="1:11" ht="15.75" customHeight="1">
      <c r="A780" s="39"/>
      <c r="B780" s="40"/>
      <c r="H780" s="38"/>
      <c r="K780" s="38"/>
    </row>
    <row r="781" spans="1:11" ht="15.75" customHeight="1">
      <c r="A781" s="39"/>
      <c r="B781" s="40"/>
      <c r="H781" s="38"/>
      <c r="K781" s="38"/>
    </row>
    <row r="782" spans="1:11" ht="15.75" customHeight="1">
      <c r="A782" s="39"/>
      <c r="B782" s="40"/>
      <c r="H782" s="38"/>
      <c r="K782" s="38"/>
    </row>
    <row r="783" spans="1:11" ht="15.75" customHeight="1">
      <c r="A783" s="39"/>
      <c r="B783" s="40"/>
      <c r="H783" s="38"/>
      <c r="K783" s="38"/>
    </row>
    <row r="784" spans="1:11" ht="15.75" customHeight="1">
      <c r="A784" s="39"/>
      <c r="B784" s="40"/>
      <c r="H784" s="38"/>
      <c r="K784" s="38"/>
    </row>
    <row r="785" spans="1:11" ht="15.75" customHeight="1">
      <c r="A785" s="39"/>
      <c r="B785" s="40"/>
      <c r="H785" s="38"/>
      <c r="K785" s="38"/>
    </row>
    <row r="786" spans="1:11" ht="15.75" customHeight="1">
      <c r="A786" s="39"/>
      <c r="B786" s="40"/>
      <c r="H786" s="38"/>
      <c r="K786" s="38"/>
    </row>
    <row r="787" spans="1:11" ht="15.75" customHeight="1">
      <c r="A787" s="39"/>
      <c r="B787" s="40"/>
      <c r="H787" s="38"/>
      <c r="K787" s="38"/>
    </row>
    <row r="788" spans="1:11" ht="15.75" customHeight="1">
      <c r="A788" s="39"/>
      <c r="B788" s="40"/>
      <c r="H788" s="38"/>
      <c r="K788" s="38"/>
    </row>
    <row r="789" spans="1:11" ht="15.75" customHeight="1">
      <c r="A789" s="39"/>
      <c r="B789" s="40"/>
      <c r="H789" s="38"/>
      <c r="K789" s="38"/>
    </row>
    <row r="790" spans="1:11" ht="15.75" customHeight="1">
      <c r="A790" s="39"/>
      <c r="B790" s="40"/>
      <c r="H790" s="38"/>
      <c r="K790" s="38"/>
    </row>
    <row r="791" spans="1:11" ht="15.75" customHeight="1">
      <c r="A791" s="39"/>
      <c r="B791" s="40"/>
      <c r="H791" s="38"/>
      <c r="K791" s="38"/>
    </row>
    <row r="792" spans="1:11" ht="15.75" customHeight="1">
      <c r="A792" s="39"/>
      <c r="B792" s="40"/>
      <c r="H792" s="38"/>
      <c r="K792" s="38"/>
    </row>
    <row r="793" spans="1:11" ht="15.75" customHeight="1">
      <c r="A793" s="39"/>
      <c r="B793" s="40"/>
      <c r="H793" s="38"/>
      <c r="K793" s="38"/>
    </row>
    <row r="794" spans="1:11" ht="15.75" customHeight="1">
      <c r="A794" s="39"/>
      <c r="B794" s="40"/>
      <c r="H794" s="38"/>
      <c r="K794" s="38"/>
    </row>
    <row r="795" spans="1:11" ht="15.75" customHeight="1">
      <c r="A795" s="39"/>
      <c r="B795" s="40"/>
      <c r="H795" s="38"/>
      <c r="K795" s="38"/>
    </row>
    <row r="796" spans="1:11" ht="15.75" customHeight="1">
      <c r="A796" s="39"/>
      <c r="B796" s="40"/>
      <c r="H796" s="38"/>
      <c r="K796" s="38"/>
    </row>
    <row r="797" spans="1:11" ht="15.75" customHeight="1">
      <c r="A797" s="39"/>
      <c r="B797" s="40"/>
      <c r="H797" s="38"/>
      <c r="K797" s="38"/>
    </row>
    <row r="798" spans="1:11" ht="15.75" customHeight="1">
      <c r="A798" s="39"/>
      <c r="B798" s="40"/>
      <c r="H798" s="38"/>
      <c r="K798" s="38"/>
    </row>
    <row r="799" spans="1:11" ht="15.75" customHeight="1">
      <c r="A799" s="39"/>
      <c r="B799" s="40"/>
      <c r="H799" s="38"/>
      <c r="K799" s="38"/>
    </row>
    <row r="800" spans="1:11" ht="15.75" customHeight="1">
      <c r="A800" s="39"/>
      <c r="B800" s="40"/>
      <c r="H800" s="38"/>
      <c r="K800" s="38"/>
    </row>
    <row r="801" spans="1:11" ht="15.75" customHeight="1">
      <c r="A801" s="39"/>
      <c r="B801" s="40"/>
      <c r="H801" s="38"/>
      <c r="K801" s="38"/>
    </row>
    <row r="802" spans="1:11" ht="15.75" customHeight="1">
      <c r="A802" s="39"/>
      <c r="B802" s="40"/>
      <c r="H802" s="38"/>
      <c r="K802" s="38"/>
    </row>
    <row r="803" spans="1:11" ht="15.75" customHeight="1">
      <c r="A803" s="39"/>
      <c r="B803" s="40"/>
      <c r="H803" s="38"/>
      <c r="K803" s="38"/>
    </row>
    <row r="804" spans="1:11" ht="15.75" customHeight="1">
      <c r="A804" s="39"/>
      <c r="B804" s="40"/>
      <c r="H804" s="38"/>
      <c r="K804" s="38"/>
    </row>
    <row r="805" spans="1:11" ht="15.75" customHeight="1">
      <c r="A805" s="39"/>
      <c r="B805" s="40"/>
      <c r="H805" s="38"/>
      <c r="K805" s="38"/>
    </row>
    <row r="806" spans="1:11" ht="15.75" customHeight="1">
      <c r="A806" s="39"/>
      <c r="B806" s="40"/>
      <c r="H806" s="38"/>
      <c r="K806" s="38"/>
    </row>
    <row r="807" spans="1:11" ht="15.75" customHeight="1">
      <c r="A807" s="39"/>
      <c r="B807" s="40"/>
      <c r="H807" s="38"/>
      <c r="K807" s="38"/>
    </row>
    <row r="808" spans="1:11" ht="15.75" customHeight="1">
      <c r="A808" s="39"/>
      <c r="B808" s="40"/>
      <c r="H808" s="38"/>
      <c r="K808" s="38"/>
    </row>
    <row r="809" spans="1:11" ht="15.75" customHeight="1">
      <c r="A809" s="39"/>
      <c r="B809" s="40"/>
      <c r="H809" s="38"/>
      <c r="K809" s="38"/>
    </row>
    <row r="810" spans="1:11" ht="15.75" customHeight="1">
      <c r="A810" s="39"/>
      <c r="B810" s="40"/>
      <c r="H810" s="38"/>
      <c r="K810" s="38"/>
    </row>
    <row r="811" spans="1:11" ht="15.75" customHeight="1">
      <c r="A811" s="39"/>
      <c r="B811" s="40"/>
      <c r="H811" s="38"/>
      <c r="K811" s="38"/>
    </row>
    <row r="812" spans="1:11" ht="15.75" customHeight="1">
      <c r="A812" s="39"/>
      <c r="B812" s="40"/>
      <c r="H812" s="38"/>
      <c r="K812" s="38"/>
    </row>
    <row r="813" spans="1:11" ht="15.75" customHeight="1">
      <c r="A813" s="39"/>
      <c r="B813" s="40"/>
      <c r="H813" s="38"/>
      <c r="K813" s="38"/>
    </row>
    <row r="814" spans="1:11" ht="15.75" customHeight="1">
      <c r="A814" s="39"/>
      <c r="B814" s="40"/>
      <c r="H814" s="38"/>
      <c r="K814" s="38"/>
    </row>
    <row r="815" spans="1:11" ht="15.75" customHeight="1">
      <c r="A815" s="39"/>
      <c r="B815" s="40"/>
      <c r="H815" s="38"/>
      <c r="K815" s="38"/>
    </row>
    <row r="816" spans="1:11" ht="15.75" customHeight="1">
      <c r="A816" s="39"/>
      <c r="B816" s="40"/>
      <c r="H816" s="38"/>
      <c r="K816" s="38"/>
    </row>
    <row r="817" spans="1:11" ht="15.75" customHeight="1">
      <c r="A817" s="39"/>
      <c r="B817" s="40"/>
      <c r="H817" s="38"/>
      <c r="K817" s="38"/>
    </row>
    <row r="818" spans="1:11" ht="15.75" customHeight="1">
      <c r="A818" s="39"/>
      <c r="B818" s="40"/>
      <c r="H818" s="38"/>
      <c r="K818" s="38"/>
    </row>
    <row r="819" spans="1:11" ht="15.75" customHeight="1">
      <c r="A819" s="39"/>
      <c r="B819" s="40"/>
      <c r="H819" s="38"/>
      <c r="K819" s="38"/>
    </row>
    <row r="820" spans="1:11" ht="15.75" customHeight="1">
      <c r="A820" s="39"/>
      <c r="B820" s="40"/>
      <c r="H820" s="38"/>
      <c r="K820" s="38"/>
    </row>
    <row r="821" spans="1:11" ht="15.75" customHeight="1">
      <c r="A821" s="39"/>
      <c r="B821" s="40"/>
      <c r="H821" s="38"/>
      <c r="K821" s="38"/>
    </row>
    <row r="822" spans="1:11" ht="15.75" customHeight="1">
      <c r="A822" s="39"/>
      <c r="B822" s="40"/>
      <c r="H822" s="38"/>
      <c r="K822" s="38"/>
    </row>
    <row r="823" spans="1:11" ht="15.75" customHeight="1">
      <c r="A823" s="39"/>
      <c r="B823" s="40"/>
      <c r="H823" s="38"/>
      <c r="K823" s="38"/>
    </row>
    <row r="824" spans="1:11" ht="15.75" customHeight="1">
      <c r="A824" s="39"/>
      <c r="B824" s="40"/>
      <c r="H824" s="38"/>
      <c r="K824" s="38"/>
    </row>
    <row r="825" spans="1:11" ht="15.75" customHeight="1">
      <c r="A825" s="39"/>
      <c r="B825" s="40"/>
      <c r="H825" s="38"/>
      <c r="K825" s="38"/>
    </row>
    <row r="826" spans="1:11" ht="15.75" customHeight="1">
      <c r="A826" s="39"/>
      <c r="B826" s="40"/>
      <c r="H826" s="38"/>
      <c r="K826" s="38"/>
    </row>
    <row r="827" spans="1:11" ht="15.75" customHeight="1">
      <c r="A827" s="39"/>
      <c r="B827" s="40"/>
      <c r="H827" s="38"/>
      <c r="K827" s="38"/>
    </row>
    <row r="828" spans="1:11" ht="15.75" customHeight="1">
      <c r="A828" s="39"/>
      <c r="B828" s="40"/>
      <c r="H828" s="38"/>
      <c r="K828" s="38"/>
    </row>
    <row r="829" spans="1:11" ht="15.75" customHeight="1">
      <c r="A829" s="39"/>
      <c r="B829" s="40"/>
      <c r="H829" s="38"/>
      <c r="K829" s="38"/>
    </row>
    <row r="830" spans="1:11" ht="15.75" customHeight="1">
      <c r="A830" s="39"/>
      <c r="B830" s="40"/>
      <c r="H830" s="38"/>
      <c r="K830" s="38"/>
    </row>
    <row r="831" spans="1:11" ht="15.75" customHeight="1">
      <c r="A831" s="39"/>
      <c r="B831" s="40"/>
      <c r="H831" s="38"/>
      <c r="K831" s="38"/>
    </row>
    <row r="832" spans="1:11" ht="15.75" customHeight="1">
      <c r="A832" s="39"/>
      <c r="B832" s="40"/>
      <c r="H832" s="38"/>
      <c r="K832" s="38"/>
    </row>
    <row r="833" spans="1:11" ht="15.75" customHeight="1">
      <c r="A833" s="39"/>
      <c r="B833" s="40"/>
      <c r="H833" s="38"/>
      <c r="K833" s="38"/>
    </row>
    <row r="834" spans="1:11" ht="15.75" customHeight="1">
      <c r="A834" s="39"/>
      <c r="B834" s="40"/>
      <c r="H834" s="38"/>
      <c r="K834" s="38"/>
    </row>
    <row r="835" spans="1:11" ht="15.75" customHeight="1">
      <c r="A835" s="39"/>
      <c r="B835" s="40"/>
      <c r="H835" s="38"/>
      <c r="K835" s="38"/>
    </row>
    <row r="836" spans="1:11" ht="15.75" customHeight="1">
      <c r="A836" s="39"/>
      <c r="B836" s="40"/>
      <c r="H836" s="38"/>
      <c r="K836" s="38"/>
    </row>
    <row r="837" spans="1:11" ht="15.75" customHeight="1">
      <c r="A837" s="39"/>
      <c r="B837" s="40"/>
      <c r="H837" s="38"/>
      <c r="K837" s="38"/>
    </row>
    <row r="838" spans="1:11" ht="15.75" customHeight="1">
      <c r="A838" s="39"/>
      <c r="B838" s="40"/>
      <c r="H838" s="38"/>
      <c r="K838" s="38"/>
    </row>
    <row r="839" spans="1:11" ht="15.75" customHeight="1">
      <c r="A839" s="39"/>
      <c r="B839" s="40"/>
      <c r="H839" s="38"/>
      <c r="K839" s="38"/>
    </row>
    <row r="840" spans="1:11" ht="15.75" customHeight="1">
      <c r="A840" s="39"/>
      <c r="B840" s="40"/>
      <c r="H840" s="38"/>
      <c r="K840" s="38"/>
    </row>
    <row r="841" spans="1:11" ht="15.75" customHeight="1">
      <c r="A841" s="39"/>
      <c r="B841" s="40"/>
      <c r="H841" s="38"/>
      <c r="K841" s="38"/>
    </row>
    <row r="842" spans="1:11" ht="15.75" customHeight="1">
      <c r="A842" s="39"/>
      <c r="B842" s="40"/>
      <c r="H842" s="38"/>
      <c r="K842" s="38"/>
    </row>
    <row r="843" spans="1:11" ht="15.75" customHeight="1">
      <c r="A843" s="39"/>
      <c r="B843" s="40"/>
      <c r="H843" s="38"/>
      <c r="K843" s="38"/>
    </row>
    <row r="844" spans="1:11" ht="15.75" customHeight="1">
      <c r="A844" s="39"/>
      <c r="B844" s="40"/>
      <c r="H844" s="38"/>
      <c r="K844" s="38"/>
    </row>
    <row r="845" spans="1:11" ht="15.75" customHeight="1">
      <c r="A845" s="39"/>
      <c r="B845" s="40"/>
      <c r="H845" s="38"/>
      <c r="K845" s="38"/>
    </row>
    <row r="846" spans="1:11" ht="15.75" customHeight="1">
      <c r="A846" s="39"/>
      <c r="B846" s="40"/>
      <c r="H846" s="38"/>
      <c r="K846" s="38"/>
    </row>
    <row r="847" spans="1:11" ht="15.75" customHeight="1">
      <c r="A847" s="39"/>
      <c r="B847" s="40"/>
      <c r="H847" s="38"/>
      <c r="K847" s="38"/>
    </row>
    <row r="848" spans="1:11" ht="15.75" customHeight="1">
      <c r="A848" s="39"/>
      <c r="B848" s="40"/>
      <c r="H848" s="38"/>
      <c r="K848" s="38"/>
    </row>
    <row r="849" spans="1:11" ht="15.75" customHeight="1">
      <c r="A849" s="39"/>
      <c r="B849" s="40"/>
      <c r="H849" s="38"/>
      <c r="K849" s="38"/>
    </row>
    <row r="850" spans="1:11" ht="15.75" customHeight="1">
      <c r="A850" s="39"/>
      <c r="B850" s="40"/>
      <c r="H850" s="38"/>
      <c r="K850" s="38"/>
    </row>
    <row r="851" spans="1:11" ht="15.75" customHeight="1">
      <c r="A851" s="39"/>
      <c r="B851" s="40"/>
      <c r="H851" s="38"/>
      <c r="K851" s="38"/>
    </row>
    <row r="852" spans="1:11" ht="15.75" customHeight="1">
      <c r="A852" s="39"/>
      <c r="B852" s="40"/>
      <c r="H852" s="38"/>
      <c r="K852" s="38"/>
    </row>
    <row r="853" spans="1:11" ht="15.75" customHeight="1">
      <c r="A853" s="39"/>
      <c r="B853" s="40"/>
      <c r="H853" s="38"/>
      <c r="K853" s="38"/>
    </row>
    <row r="854" spans="1:11" ht="15.75" customHeight="1">
      <c r="A854" s="39"/>
      <c r="B854" s="40"/>
      <c r="H854" s="38"/>
      <c r="K854" s="38"/>
    </row>
    <row r="855" spans="1:11" ht="15.75" customHeight="1">
      <c r="A855" s="39"/>
      <c r="B855" s="40"/>
      <c r="H855" s="38"/>
      <c r="K855" s="38"/>
    </row>
    <row r="856" spans="1:11" ht="15.75" customHeight="1">
      <c r="A856" s="39"/>
      <c r="B856" s="40"/>
      <c r="H856" s="38"/>
      <c r="K856" s="38"/>
    </row>
    <row r="857" spans="1:11" ht="15.75" customHeight="1">
      <c r="A857" s="39"/>
      <c r="B857" s="40"/>
      <c r="H857" s="38"/>
      <c r="K857" s="38"/>
    </row>
    <row r="858" spans="1:11" ht="15.75" customHeight="1">
      <c r="A858" s="39"/>
      <c r="B858" s="40"/>
      <c r="H858" s="38"/>
      <c r="K858" s="38"/>
    </row>
    <row r="859" spans="1:11" ht="15.75" customHeight="1">
      <c r="A859" s="39"/>
      <c r="B859" s="40"/>
      <c r="H859" s="38"/>
      <c r="K859" s="38"/>
    </row>
    <row r="860" spans="1:11" ht="15.75" customHeight="1">
      <c r="A860" s="39"/>
      <c r="B860" s="40"/>
      <c r="H860" s="38"/>
      <c r="K860" s="38"/>
    </row>
    <row r="861" spans="1:11" ht="15.75" customHeight="1">
      <c r="A861" s="39"/>
      <c r="B861" s="40"/>
      <c r="H861" s="38"/>
      <c r="K861" s="38"/>
    </row>
    <row r="862" spans="1:11" ht="15.75" customHeight="1">
      <c r="A862" s="39"/>
      <c r="B862" s="40"/>
      <c r="H862" s="38"/>
      <c r="K862" s="38"/>
    </row>
    <row r="863" spans="1:11" ht="15.75" customHeight="1">
      <c r="A863" s="39"/>
      <c r="B863" s="40"/>
      <c r="H863" s="38"/>
      <c r="K863" s="38"/>
    </row>
    <row r="864" spans="1:11" ht="15.75" customHeight="1">
      <c r="A864" s="39"/>
      <c r="B864" s="40"/>
      <c r="H864" s="38"/>
      <c r="K864" s="38"/>
    </row>
    <row r="865" spans="1:11" ht="15.75" customHeight="1">
      <c r="A865" s="39"/>
      <c r="B865" s="40"/>
      <c r="H865" s="38"/>
      <c r="K865" s="38"/>
    </row>
    <row r="866" spans="1:11" ht="15.75" customHeight="1">
      <c r="A866" s="39"/>
      <c r="B866" s="40"/>
      <c r="H866" s="38"/>
      <c r="K866" s="38"/>
    </row>
    <row r="867" spans="1:11" ht="15.75" customHeight="1">
      <c r="A867" s="39"/>
      <c r="B867" s="40"/>
      <c r="H867" s="38"/>
      <c r="K867" s="38"/>
    </row>
    <row r="868" spans="1:11" ht="15.75" customHeight="1">
      <c r="A868" s="39"/>
      <c r="B868" s="40"/>
      <c r="H868" s="38"/>
      <c r="K868" s="38"/>
    </row>
    <row r="869" spans="1:11" ht="15.75" customHeight="1">
      <c r="A869" s="39"/>
      <c r="B869" s="40"/>
      <c r="H869" s="38"/>
      <c r="K869" s="38"/>
    </row>
    <row r="870" spans="1:11" ht="15.75" customHeight="1">
      <c r="A870" s="39"/>
      <c r="B870" s="40"/>
      <c r="H870" s="38"/>
      <c r="K870" s="38"/>
    </row>
    <row r="871" spans="1:11" ht="15.75" customHeight="1">
      <c r="A871" s="39"/>
      <c r="B871" s="40"/>
      <c r="H871" s="38"/>
      <c r="K871" s="38"/>
    </row>
    <row r="872" spans="1:11" ht="15.75" customHeight="1">
      <c r="A872" s="39"/>
      <c r="B872" s="40"/>
      <c r="H872" s="38"/>
      <c r="K872" s="38"/>
    </row>
    <row r="873" spans="1:11" ht="15.75" customHeight="1">
      <c r="A873" s="39"/>
      <c r="B873" s="40"/>
      <c r="H873" s="38"/>
      <c r="K873" s="38"/>
    </row>
    <row r="874" spans="1:11" ht="15.75" customHeight="1">
      <c r="A874" s="39"/>
      <c r="B874" s="40"/>
      <c r="H874" s="38"/>
      <c r="K874" s="38"/>
    </row>
    <row r="875" spans="1:11" ht="15.75" customHeight="1">
      <c r="A875" s="39"/>
      <c r="B875" s="40"/>
      <c r="H875" s="38"/>
      <c r="K875" s="38"/>
    </row>
    <row r="876" spans="1:11" ht="15.75" customHeight="1">
      <c r="A876" s="39"/>
      <c r="B876" s="40"/>
      <c r="H876" s="38"/>
      <c r="K876" s="38"/>
    </row>
    <row r="877" spans="1:11" ht="15.75" customHeight="1">
      <c r="A877" s="39"/>
      <c r="B877" s="40"/>
      <c r="H877" s="38"/>
      <c r="K877" s="38"/>
    </row>
    <row r="878" spans="1:11" ht="15.75" customHeight="1">
      <c r="A878" s="39"/>
      <c r="B878" s="40"/>
      <c r="H878" s="38"/>
      <c r="K878" s="38"/>
    </row>
    <row r="879" spans="1:11" ht="15.75" customHeight="1">
      <c r="A879" s="39"/>
      <c r="B879" s="40"/>
      <c r="H879" s="38"/>
      <c r="K879" s="38"/>
    </row>
    <row r="880" spans="1:11" ht="15.75" customHeight="1">
      <c r="A880" s="39"/>
      <c r="B880" s="40"/>
      <c r="H880" s="38"/>
      <c r="K880" s="38"/>
    </row>
    <row r="881" spans="1:11" ht="15.75" customHeight="1">
      <c r="A881" s="39"/>
      <c r="B881" s="40"/>
      <c r="H881" s="38"/>
      <c r="K881" s="38"/>
    </row>
    <row r="882" spans="1:11" ht="15.75" customHeight="1">
      <c r="A882" s="39"/>
      <c r="B882" s="40"/>
      <c r="H882" s="38"/>
      <c r="K882" s="38"/>
    </row>
    <row r="883" spans="1:11" ht="15.75" customHeight="1">
      <c r="A883" s="39"/>
      <c r="B883" s="40"/>
      <c r="H883" s="38"/>
      <c r="K883" s="38"/>
    </row>
    <row r="884" spans="1:11" ht="15.75" customHeight="1">
      <c r="A884" s="39"/>
      <c r="B884" s="40"/>
      <c r="H884" s="38"/>
      <c r="K884" s="38"/>
    </row>
    <row r="885" spans="1:11" ht="15.75" customHeight="1">
      <c r="A885" s="39"/>
      <c r="B885" s="40"/>
      <c r="H885" s="38"/>
      <c r="K885" s="38"/>
    </row>
    <row r="886" spans="1:11" ht="15.75" customHeight="1">
      <c r="A886" s="39"/>
      <c r="B886" s="40"/>
      <c r="H886" s="38"/>
      <c r="K886" s="38"/>
    </row>
    <row r="887" spans="1:11" ht="15.75" customHeight="1">
      <c r="A887" s="39"/>
      <c r="B887" s="40"/>
      <c r="H887" s="38"/>
      <c r="K887" s="38"/>
    </row>
    <row r="888" spans="1:11" ht="15.75" customHeight="1">
      <c r="A888" s="39"/>
      <c r="B888" s="40"/>
      <c r="H888" s="38"/>
      <c r="K888" s="38"/>
    </row>
    <row r="889" spans="1:11" ht="15.75" customHeight="1">
      <c r="A889" s="39"/>
      <c r="B889" s="40"/>
      <c r="H889" s="38"/>
      <c r="K889" s="38"/>
    </row>
    <row r="890" spans="1:11" ht="15.75" customHeight="1">
      <c r="A890" s="39"/>
      <c r="B890" s="40"/>
      <c r="H890" s="38"/>
      <c r="K890" s="38"/>
    </row>
    <row r="891" spans="1:11" ht="15.75" customHeight="1">
      <c r="A891" s="39"/>
      <c r="B891" s="40"/>
      <c r="H891" s="38"/>
      <c r="K891" s="38"/>
    </row>
    <row r="892" spans="1:11" ht="15.75" customHeight="1">
      <c r="A892" s="39"/>
      <c r="B892" s="40"/>
      <c r="H892" s="38"/>
      <c r="K892" s="38"/>
    </row>
    <row r="893" spans="1:11" ht="15.75" customHeight="1">
      <c r="A893" s="39"/>
      <c r="B893" s="40"/>
      <c r="H893" s="38"/>
      <c r="K893" s="38"/>
    </row>
    <row r="894" spans="1:11" ht="15.75" customHeight="1">
      <c r="A894" s="39"/>
      <c r="B894" s="40"/>
      <c r="H894" s="38"/>
      <c r="K894" s="38"/>
    </row>
    <row r="895" spans="1:11" ht="15.75" customHeight="1">
      <c r="A895" s="39"/>
      <c r="B895" s="40"/>
      <c r="H895" s="38"/>
      <c r="K895" s="38"/>
    </row>
    <row r="896" spans="1:11" ht="15.75" customHeight="1">
      <c r="A896" s="39"/>
      <c r="B896" s="40"/>
      <c r="H896" s="38"/>
      <c r="K896" s="38"/>
    </row>
    <row r="897" spans="1:11" ht="15.75" customHeight="1">
      <c r="A897" s="39"/>
      <c r="B897" s="40"/>
      <c r="H897" s="38"/>
      <c r="K897" s="38"/>
    </row>
    <row r="898" spans="1:11" ht="15.75" customHeight="1">
      <c r="A898" s="39"/>
      <c r="B898" s="40"/>
      <c r="H898" s="38"/>
      <c r="K898" s="38"/>
    </row>
    <row r="899" spans="1:11" ht="15.75" customHeight="1">
      <c r="A899" s="39"/>
      <c r="B899" s="40"/>
      <c r="H899" s="38"/>
      <c r="K899" s="38"/>
    </row>
    <row r="900" spans="1:11" ht="15.75" customHeight="1">
      <c r="A900" s="39"/>
      <c r="B900" s="40"/>
      <c r="H900" s="38"/>
      <c r="K900" s="38"/>
    </row>
    <row r="901" spans="1:11" ht="15.75" customHeight="1">
      <c r="A901" s="39"/>
      <c r="B901" s="40"/>
      <c r="H901" s="38"/>
      <c r="K901" s="38"/>
    </row>
    <row r="902" spans="1:11" ht="15.75" customHeight="1">
      <c r="A902" s="39"/>
      <c r="B902" s="40"/>
      <c r="H902" s="38"/>
      <c r="K902" s="38"/>
    </row>
    <row r="903" spans="1:11" ht="15.75" customHeight="1">
      <c r="A903" s="39"/>
      <c r="B903" s="40"/>
      <c r="H903" s="38"/>
      <c r="K903" s="38"/>
    </row>
    <row r="904" spans="1:11" ht="15.75" customHeight="1">
      <c r="A904" s="39"/>
      <c r="B904" s="40"/>
      <c r="H904" s="38"/>
      <c r="K904" s="38"/>
    </row>
    <row r="905" spans="1:11" ht="15.75" customHeight="1">
      <c r="A905" s="39"/>
      <c r="B905" s="40"/>
      <c r="H905" s="38"/>
      <c r="K905" s="38"/>
    </row>
    <row r="906" spans="1:11" ht="15.75" customHeight="1">
      <c r="A906" s="39"/>
      <c r="B906" s="40"/>
      <c r="H906" s="38"/>
      <c r="K906" s="38"/>
    </row>
    <row r="907" spans="1:11" ht="15.75" customHeight="1">
      <c r="A907" s="39"/>
      <c r="B907" s="40"/>
      <c r="H907" s="38"/>
      <c r="K907" s="38"/>
    </row>
    <row r="908" spans="1:11" ht="15.75" customHeight="1">
      <c r="A908" s="39"/>
      <c r="B908" s="40"/>
      <c r="H908" s="38"/>
      <c r="K908" s="38"/>
    </row>
    <row r="909" spans="1:11" ht="15.75" customHeight="1">
      <c r="A909" s="39"/>
      <c r="B909" s="40"/>
      <c r="H909" s="38"/>
      <c r="K909" s="38"/>
    </row>
    <row r="910" spans="1:11" ht="15.75" customHeight="1">
      <c r="A910" s="39"/>
      <c r="B910" s="40"/>
      <c r="H910" s="38"/>
      <c r="K910" s="38"/>
    </row>
    <row r="911" spans="1:11" ht="15.75" customHeight="1">
      <c r="A911" s="39"/>
      <c r="B911" s="40"/>
      <c r="H911" s="38"/>
      <c r="K911" s="38"/>
    </row>
    <row r="912" spans="1:11" ht="15.75" customHeight="1">
      <c r="A912" s="39"/>
      <c r="B912" s="40"/>
      <c r="H912" s="38"/>
      <c r="K912" s="38"/>
    </row>
    <row r="913" spans="1:11" ht="15.75" customHeight="1">
      <c r="A913" s="39"/>
      <c r="B913" s="40"/>
      <c r="H913" s="38"/>
      <c r="K913" s="38"/>
    </row>
    <row r="914" spans="1:11" ht="15.75" customHeight="1">
      <c r="A914" s="39"/>
      <c r="B914" s="40"/>
      <c r="H914" s="38"/>
      <c r="K914" s="38"/>
    </row>
    <row r="915" spans="1:11" ht="15.75" customHeight="1">
      <c r="A915" s="39"/>
      <c r="B915" s="40"/>
      <c r="H915" s="38"/>
      <c r="K915" s="38"/>
    </row>
    <row r="916" spans="1:11" ht="15.75" customHeight="1">
      <c r="A916" s="39"/>
      <c r="B916" s="40"/>
      <c r="H916" s="38"/>
      <c r="K916" s="38"/>
    </row>
    <row r="917" spans="1:11" ht="15.75" customHeight="1">
      <c r="A917" s="39"/>
      <c r="B917" s="40"/>
      <c r="H917" s="38"/>
      <c r="K917" s="38"/>
    </row>
    <row r="918" spans="1:11" ht="15.75" customHeight="1">
      <c r="A918" s="39"/>
      <c r="B918" s="40"/>
      <c r="H918" s="38"/>
      <c r="K918" s="38"/>
    </row>
    <row r="919" spans="1:11" ht="15.75" customHeight="1">
      <c r="A919" s="39"/>
      <c r="B919" s="40"/>
      <c r="H919" s="38"/>
      <c r="K919" s="38"/>
    </row>
    <row r="920" spans="1:11" ht="15.75" customHeight="1">
      <c r="A920" s="39"/>
      <c r="B920" s="40"/>
      <c r="H920" s="38"/>
      <c r="K920" s="38"/>
    </row>
    <row r="921" spans="1:11" ht="15.75" customHeight="1">
      <c r="A921" s="39"/>
      <c r="B921" s="40"/>
      <c r="H921" s="38"/>
      <c r="K921" s="38"/>
    </row>
    <row r="922" spans="1:11" ht="15.75" customHeight="1">
      <c r="A922" s="39"/>
      <c r="B922" s="40"/>
      <c r="H922" s="38"/>
      <c r="K922" s="38"/>
    </row>
    <row r="923" spans="1:11" ht="15.75" customHeight="1">
      <c r="A923" s="39"/>
      <c r="B923" s="40"/>
      <c r="H923" s="38"/>
      <c r="K923" s="38"/>
    </row>
    <row r="924" spans="1:11" ht="15.75" customHeight="1">
      <c r="A924" s="39"/>
      <c r="B924" s="40"/>
      <c r="H924" s="38"/>
      <c r="K924" s="38"/>
    </row>
    <row r="925" spans="1:11" ht="15.75" customHeight="1">
      <c r="A925" s="39"/>
      <c r="B925" s="40"/>
      <c r="H925" s="38"/>
      <c r="K925" s="38"/>
    </row>
    <row r="926" spans="1:11" ht="15.75" customHeight="1">
      <c r="A926" s="39"/>
      <c r="B926" s="40"/>
      <c r="H926" s="38"/>
      <c r="K926" s="38"/>
    </row>
    <row r="927" spans="1:11" ht="15.75" customHeight="1">
      <c r="A927" s="39"/>
      <c r="B927" s="40"/>
      <c r="H927" s="38"/>
      <c r="K927" s="38"/>
    </row>
    <row r="928" spans="1:11" ht="15.75" customHeight="1">
      <c r="A928" s="39"/>
      <c r="B928" s="40"/>
      <c r="H928" s="38"/>
      <c r="K928" s="38"/>
    </row>
    <row r="929" spans="1:11" ht="15.75" customHeight="1">
      <c r="A929" s="39"/>
      <c r="B929" s="40"/>
      <c r="H929" s="38"/>
      <c r="K929" s="38"/>
    </row>
    <row r="930" spans="1:11" ht="15.75" customHeight="1">
      <c r="A930" s="39"/>
      <c r="B930" s="40"/>
      <c r="H930" s="38"/>
      <c r="K930" s="38"/>
    </row>
    <row r="931" spans="1:11" ht="15.75" customHeight="1">
      <c r="A931" s="39"/>
      <c r="B931" s="40"/>
      <c r="H931" s="38"/>
      <c r="K931" s="38"/>
    </row>
    <row r="932" spans="1:11" ht="15.75" customHeight="1">
      <c r="A932" s="39"/>
      <c r="B932" s="40"/>
      <c r="H932" s="38"/>
      <c r="K932" s="38"/>
    </row>
    <row r="933" spans="1:11" ht="15.75" customHeight="1">
      <c r="A933" s="39"/>
      <c r="B933" s="40"/>
      <c r="H933" s="38"/>
      <c r="K933" s="38"/>
    </row>
    <row r="934" spans="1:11" ht="15.75" customHeight="1">
      <c r="A934" s="39"/>
      <c r="B934" s="40"/>
      <c r="H934" s="38"/>
      <c r="K934" s="38"/>
    </row>
    <row r="935" spans="1:11" ht="15.75" customHeight="1">
      <c r="A935" s="39"/>
      <c r="B935" s="40"/>
      <c r="H935" s="38"/>
      <c r="K935" s="38"/>
    </row>
    <row r="936" spans="1:11" ht="15.75" customHeight="1">
      <c r="A936" s="39"/>
      <c r="B936" s="40"/>
      <c r="H936" s="38"/>
      <c r="K936" s="38"/>
    </row>
    <row r="937" spans="1:11" ht="15.75" customHeight="1">
      <c r="A937" s="39"/>
      <c r="B937" s="40"/>
      <c r="H937" s="38"/>
      <c r="K937" s="38"/>
    </row>
    <row r="938" spans="1:11" ht="15.75" customHeight="1">
      <c r="A938" s="39"/>
      <c r="B938" s="40"/>
      <c r="H938" s="38"/>
      <c r="K938" s="38"/>
    </row>
    <row r="939" spans="1:11" ht="15.75" customHeight="1">
      <c r="A939" s="39"/>
      <c r="B939" s="40"/>
      <c r="H939" s="38"/>
      <c r="K939" s="38"/>
    </row>
    <row r="940" spans="1:11" ht="15.75" customHeight="1">
      <c r="A940" s="39"/>
      <c r="B940" s="40"/>
      <c r="H940" s="38"/>
      <c r="K940" s="38"/>
    </row>
    <row r="941" spans="1:11" ht="15.75" customHeight="1">
      <c r="A941" s="39"/>
      <c r="B941" s="40"/>
      <c r="H941" s="38"/>
      <c r="K941" s="38"/>
    </row>
    <row r="942" spans="1:11" ht="15.75" customHeight="1">
      <c r="A942" s="39"/>
      <c r="B942" s="40"/>
      <c r="H942" s="38"/>
      <c r="K942" s="38"/>
    </row>
    <row r="943" spans="1:11" ht="15.75" customHeight="1">
      <c r="A943" s="39"/>
      <c r="B943" s="40"/>
      <c r="H943" s="38"/>
      <c r="K943" s="38"/>
    </row>
    <row r="944" spans="1:11" ht="15.75" customHeight="1">
      <c r="A944" s="39"/>
      <c r="B944" s="40"/>
      <c r="H944" s="38"/>
      <c r="K944" s="38"/>
    </row>
    <row r="945" spans="1:11" ht="15.75" customHeight="1">
      <c r="A945" s="39"/>
      <c r="B945" s="40"/>
      <c r="H945" s="38"/>
      <c r="K945" s="38"/>
    </row>
    <row r="946" spans="1:11" ht="15.75" customHeight="1">
      <c r="A946" s="39"/>
      <c r="B946" s="40"/>
      <c r="H946" s="38"/>
      <c r="K946" s="38"/>
    </row>
    <row r="947" spans="1:11" ht="15.75" customHeight="1">
      <c r="A947" s="39"/>
      <c r="B947" s="40"/>
      <c r="H947" s="38"/>
      <c r="K947" s="38"/>
    </row>
    <row r="948" spans="1:11" ht="15.75" customHeight="1">
      <c r="A948" s="39"/>
      <c r="B948" s="40"/>
      <c r="H948" s="38"/>
      <c r="K948" s="38"/>
    </row>
    <row r="949" spans="1:11" ht="15.75" customHeight="1">
      <c r="A949" s="39"/>
      <c r="B949" s="40"/>
      <c r="H949" s="38"/>
      <c r="K949" s="38"/>
    </row>
    <row r="950" spans="1:11" ht="15.75" customHeight="1">
      <c r="A950" s="39"/>
      <c r="B950" s="40"/>
      <c r="H950" s="38"/>
      <c r="K950" s="38"/>
    </row>
    <row r="951" spans="1:11" ht="15.75" customHeight="1">
      <c r="A951" s="39"/>
      <c r="B951" s="40"/>
      <c r="H951" s="38"/>
      <c r="K951" s="38"/>
    </row>
    <row r="952" spans="1:11" ht="15.75" customHeight="1">
      <c r="A952" s="39"/>
      <c r="B952" s="40"/>
      <c r="H952" s="38"/>
      <c r="K952" s="38"/>
    </row>
    <row r="953" spans="1:11" ht="15.75" customHeight="1">
      <c r="A953" s="39"/>
      <c r="B953" s="40"/>
      <c r="H953" s="38"/>
      <c r="K953" s="38"/>
    </row>
    <row r="954" spans="1:11" ht="15.75" customHeight="1">
      <c r="A954" s="39"/>
      <c r="B954" s="40"/>
      <c r="H954" s="38"/>
      <c r="K954" s="38"/>
    </row>
    <row r="955" spans="1:11" ht="15.75" customHeight="1">
      <c r="A955" s="39"/>
      <c r="B955" s="40"/>
      <c r="H955" s="38"/>
      <c r="K955" s="38"/>
    </row>
    <row r="956" spans="1:11" ht="15.75" customHeight="1">
      <c r="A956" s="39"/>
      <c r="B956" s="40"/>
      <c r="H956" s="38"/>
      <c r="K956" s="38"/>
    </row>
    <row r="957" spans="1:11" ht="15.75" customHeight="1">
      <c r="A957" s="39"/>
      <c r="B957" s="40"/>
      <c r="H957" s="38"/>
      <c r="K957" s="38"/>
    </row>
    <row r="958" spans="1:11" ht="15.75" customHeight="1">
      <c r="A958" s="39"/>
      <c r="B958" s="40"/>
      <c r="H958" s="38"/>
      <c r="K958" s="38"/>
    </row>
    <row r="959" spans="1:11" ht="15.75" customHeight="1">
      <c r="A959" s="39"/>
      <c r="B959" s="40"/>
      <c r="H959" s="38"/>
      <c r="K959" s="38"/>
    </row>
    <row r="960" spans="1:11" ht="15.75" customHeight="1">
      <c r="A960" s="39"/>
      <c r="B960" s="40"/>
      <c r="H960" s="38"/>
      <c r="K960" s="38"/>
    </row>
    <row r="961" spans="1:11" ht="15.75" customHeight="1">
      <c r="A961" s="39"/>
      <c r="B961" s="40"/>
      <c r="H961" s="38"/>
      <c r="K961" s="38"/>
    </row>
    <row r="962" spans="1:11" ht="15.75" customHeight="1">
      <c r="A962" s="39"/>
      <c r="B962" s="40"/>
      <c r="H962" s="38"/>
      <c r="K962" s="38"/>
    </row>
    <row r="963" spans="1:11" ht="15.75" customHeight="1">
      <c r="A963" s="39"/>
      <c r="B963" s="40"/>
      <c r="H963" s="38"/>
      <c r="K963" s="38"/>
    </row>
    <row r="964" spans="1:11" ht="15.75" customHeight="1">
      <c r="A964" s="39"/>
      <c r="B964" s="40"/>
      <c r="H964" s="38"/>
      <c r="K964" s="38"/>
    </row>
    <row r="965" spans="1:11" ht="15.75" customHeight="1">
      <c r="A965" s="39"/>
      <c r="B965" s="40"/>
      <c r="H965" s="38"/>
      <c r="K965" s="38"/>
    </row>
    <row r="966" spans="1:11" ht="15.75" customHeight="1">
      <c r="A966" s="39"/>
      <c r="B966" s="40"/>
      <c r="H966" s="38"/>
      <c r="K966" s="38"/>
    </row>
    <row r="967" spans="1:11" ht="15.75" customHeight="1">
      <c r="A967" s="39"/>
      <c r="B967" s="40"/>
      <c r="H967" s="38"/>
      <c r="K967" s="38"/>
    </row>
    <row r="968" spans="1:11" ht="15.75" customHeight="1">
      <c r="A968" s="39"/>
      <c r="B968" s="40"/>
      <c r="H968" s="38"/>
      <c r="K968" s="38"/>
    </row>
    <row r="969" spans="1:11" ht="15.75" customHeight="1">
      <c r="A969" s="39"/>
      <c r="B969" s="40"/>
      <c r="H969" s="38"/>
      <c r="K969" s="38"/>
    </row>
    <row r="970" spans="1:11" ht="15.75" customHeight="1">
      <c r="A970" s="39"/>
      <c r="B970" s="40"/>
      <c r="H970" s="38"/>
      <c r="K970" s="38"/>
    </row>
    <row r="971" spans="1:11" ht="15.75" customHeight="1">
      <c r="A971" s="39"/>
      <c r="B971" s="40"/>
      <c r="H971" s="38"/>
      <c r="K971" s="38"/>
    </row>
    <row r="972" spans="1:11" ht="15.75" customHeight="1">
      <c r="A972" s="39"/>
      <c r="B972" s="40"/>
      <c r="H972" s="38"/>
      <c r="K972" s="38"/>
    </row>
    <row r="973" spans="1:11" ht="15.75" customHeight="1">
      <c r="A973" s="39"/>
      <c r="B973" s="40"/>
      <c r="H973" s="38"/>
      <c r="K973" s="38"/>
    </row>
    <row r="974" spans="1:11" ht="15.75" customHeight="1">
      <c r="A974" s="39"/>
      <c r="B974" s="40"/>
      <c r="H974" s="38"/>
      <c r="K974" s="38"/>
    </row>
    <row r="975" spans="1:11" ht="15.75" customHeight="1">
      <c r="A975" s="39"/>
      <c r="B975" s="40"/>
      <c r="H975" s="38"/>
      <c r="K975" s="38"/>
    </row>
    <row r="976" spans="1:11" ht="15.75" customHeight="1">
      <c r="A976" s="39"/>
      <c r="B976" s="40"/>
      <c r="H976" s="38"/>
      <c r="K976" s="38"/>
    </row>
    <row r="977" spans="1:11" ht="15.75" customHeight="1">
      <c r="A977" s="39"/>
      <c r="B977" s="40"/>
      <c r="H977" s="38"/>
      <c r="K977" s="38"/>
    </row>
    <row r="978" spans="1:11" ht="15.75" customHeight="1">
      <c r="A978" s="39"/>
      <c r="B978" s="40"/>
      <c r="H978" s="38"/>
      <c r="K978" s="38"/>
    </row>
    <row r="979" spans="1:11" ht="15.75" customHeight="1">
      <c r="A979" s="39"/>
      <c r="B979" s="40"/>
      <c r="H979" s="38"/>
      <c r="K979" s="38"/>
    </row>
    <row r="980" spans="1:11" ht="15.75" customHeight="1">
      <c r="A980" s="39"/>
      <c r="B980" s="40"/>
      <c r="H980" s="38"/>
      <c r="K980" s="38"/>
    </row>
    <row r="981" spans="1:11" ht="15.75" customHeight="1">
      <c r="A981" s="39"/>
      <c r="B981" s="40"/>
      <c r="H981" s="38"/>
      <c r="K981" s="38"/>
    </row>
    <row r="982" spans="1:11" ht="15.75" customHeight="1">
      <c r="A982" s="39"/>
      <c r="B982" s="40"/>
      <c r="H982" s="38"/>
      <c r="K982" s="38"/>
    </row>
    <row r="983" spans="1:11" ht="15.75" customHeight="1">
      <c r="A983" s="39"/>
      <c r="B983" s="40"/>
      <c r="H983" s="38"/>
      <c r="K983" s="38"/>
    </row>
    <row r="984" spans="1:11" ht="15.75" customHeight="1">
      <c r="A984" s="39"/>
      <c r="B984" s="40"/>
      <c r="H984" s="38"/>
      <c r="K984" s="38"/>
    </row>
    <row r="985" spans="1:11" ht="15.75" customHeight="1">
      <c r="A985" s="39"/>
      <c r="B985" s="40"/>
      <c r="H985" s="38"/>
      <c r="K985" s="38"/>
    </row>
    <row r="986" spans="1:11" ht="15.75" customHeight="1">
      <c r="A986" s="39"/>
      <c r="B986" s="40"/>
      <c r="H986" s="38"/>
      <c r="K986" s="38"/>
    </row>
    <row r="987" spans="1:11" ht="15.75" customHeight="1">
      <c r="A987" s="39"/>
      <c r="B987" s="40"/>
      <c r="H987" s="38"/>
      <c r="K987" s="38"/>
    </row>
    <row r="988" spans="1:11" ht="15.75" customHeight="1">
      <c r="A988" s="39"/>
      <c r="B988" s="40"/>
      <c r="H988" s="38"/>
      <c r="K988" s="38"/>
    </row>
    <row r="989" spans="1:11" ht="15.75" customHeight="1">
      <c r="A989" s="39"/>
      <c r="B989" s="40"/>
      <c r="H989" s="38"/>
      <c r="K989" s="38"/>
    </row>
    <row r="990" spans="1:11" ht="15.75" customHeight="1">
      <c r="A990" s="39"/>
      <c r="B990" s="40"/>
      <c r="H990" s="38"/>
      <c r="K990" s="38"/>
    </row>
    <row r="991" spans="1:11" ht="15.75" customHeight="1">
      <c r="A991" s="39"/>
      <c r="B991" s="40"/>
      <c r="H991" s="38"/>
      <c r="K991" s="38"/>
    </row>
    <row r="992" spans="1:11" ht="15.75" customHeight="1">
      <c r="A992" s="39"/>
      <c r="B992" s="40"/>
      <c r="H992" s="38"/>
      <c r="K992" s="38"/>
    </row>
    <row r="993" spans="1:11" ht="15.75" customHeight="1">
      <c r="A993" s="39"/>
      <c r="B993" s="40"/>
      <c r="H993" s="38"/>
      <c r="K993" s="38"/>
    </row>
    <row r="994" spans="1:11" ht="15.75" customHeight="1">
      <c r="A994" s="39"/>
      <c r="B994" s="40"/>
      <c r="H994" s="38"/>
      <c r="K994" s="38"/>
    </row>
    <row r="995" spans="1:11" ht="15.75" customHeight="1">
      <c r="A995" s="39"/>
      <c r="B995" s="40"/>
      <c r="H995" s="38"/>
      <c r="K995" s="38"/>
    </row>
    <row r="996" spans="1:11" ht="15.75" customHeight="1">
      <c r="A996" s="39"/>
      <c r="B996" s="40"/>
      <c r="H996" s="38"/>
      <c r="K996" s="38"/>
    </row>
    <row r="997" spans="1:11" ht="15.75" customHeight="1">
      <c r="A997" s="39"/>
      <c r="B997" s="40"/>
      <c r="H997" s="38"/>
      <c r="K997" s="38"/>
    </row>
    <row r="998" spans="1:11" ht="15.75" customHeight="1">
      <c r="A998" s="39"/>
      <c r="B998" s="40"/>
      <c r="H998" s="38"/>
      <c r="K998" s="38"/>
    </row>
    <row r="999" spans="1:11" ht="15.75" customHeight="1">
      <c r="A999" s="39"/>
      <c r="B999" s="40"/>
      <c r="H999" s="38"/>
      <c r="K999" s="38"/>
    </row>
    <row r="1000" spans="1:11" ht="15.75" customHeight="1">
      <c r="A1000" s="39"/>
      <c r="B1000" s="40"/>
      <c r="H1000" s="38"/>
      <c r="K1000" s="38"/>
    </row>
  </sheetData>
  <mergeCells count="2">
    <mergeCell ref="A1:B1"/>
    <mergeCell ref="J7:K7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activeCell="B4" sqref="B4"/>
    </sheetView>
  </sheetViews>
  <sheetFormatPr defaultColWidth="14.42578125" defaultRowHeight="15" customHeight="1"/>
  <cols>
    <col min="1" max="1" width="35.28515625" customWidth="1"/>
    <col min="2" max="2" width="20.5703125" customWidth="1"/>
    <col min="3" max="4" width="8.7109375" customWidth="1"/>
    <col min="5" max="5" width="21.42578125" customWidth="1"/>
    <col min="6" max="6" width="16" customWidth="1"/>
    <col min="7" max="26" width="8.7109375" customWidth="1"/>
  </cols>
  <sheetData>
    <row r="1" spans="1:6">
      <c r="A1" s="75" t="s">
        <v>62</v>
      </c>
      <c r="B1" s="64"/>
      <c r="C1" s="64"/>
      <c r="D1" s="64"/>
      <c r="F1" s="53"/>
    </row>
    <row r="2" spans="1:6">
      <c r="B2" s="40"/>
      <c r="F2" s="53"/>
    </row>
    <row r="3" spans="1:6">
      <c r="A3" s="41" t="s">
        <v>39</v>
      </c>
      <c r="B3" s="42">
        <f>'Trucks &amp; Cabins'!B3</f>
        <v>3586.8768</v>
      </c>
      <c r="F3" s="53"/>
    </row>
    <row r="4" spans="1:6" ht="18.75" customHeight="1">
      <c r="A4" s="41" t="s">
        <v>41</v>
      </c>
      <c r="B4" s="51">
        <v>2005</v>
      </c>
      <c r="F4" s="53"/>
    </row>
    <row r="5" spans="1:6" ht="19.5" customHeight="1">
      <c r="A5" s="41" t="s">
        <v>43</v>
      </c>
      <c r="B5" s="42"/>
      <c r="F5" s="53"/>
    </row>
    <row r="6" spans="1:6" ht="18.75" customHeight="1">
      <c r="A6" s="41" t="s">
        <v>45</v>
      </c>
      <c r="B6" s="42">
        <f>+B5*B3</f>
        <v>0</v>
      </c>
      <c r="E6" s="39"/>
      <c r="F6" s="46"/>
    </row>
    <row r="7" spans="1:6">
      <c r="A7" s="41"/>
      <c r="B7" s="42"/>
    </row>
    <row r="8" spans="1:6" ht="19.5" customHeight="1">
      <c r="A8" s="41" t="s">
        <v>48</v>
      </c>
      <c r="B8" s="42">
        <f>10%*B6</f>
        <v>0</v>
      </c>
    </row>
    <row r="9" spans="1:6" ht="18" customHeight="1">
      <c r="A9" s="41" t="s">
        <v>49</v>
      </c>
      <c r="B9" s="42">
        <f>(B8+B6)*18%</f>
        <v>0</v>
      </c>
    </row>
    <row r="10" spans="1:6" ht="18" customHeight="1">
      <c r="A10" s="41" t="s">
        <v>50</v>
      </c>
      <c r="B10" s="42">
        <f>6%*B6</f>
        <v>0</v>
      </c>
    </row>
    <row r="11" spans="1:6" ht="18" customHeight="1">
      <c r="A11" s="41" t="s">
        <v>57</v>
      </c>
      <c r="B11" s="42">
        <f>20%*B6</f>
        <v>0</v>
      </c>
    </row>
    <row r="12" spans="1:6" ht="18.75" customHeight="1">
      <c r="A12" s="41" t="s">
        <v>58</v>
      </c>
      <c r="B12" s="42">
        <v>1250000</v>
      </c>
    </row>
    <row r="13" spans="1:6">
      <c r="A13" s="41" t="s">
        <v>59</v>
      </c>
      <c r="B13" s="42">
        <v>18000</v>
      </c>
    </row>
    <row r="14" spans="1:6" ht="16.5" customHeight="1">
      <c r="A14" s="41" t="s">
        <v>60</v>
      </c>
      <c r="B14" s="42">
        <v>35000</v>
      </c>
    </row>
    <row r="15" spans="1:6" ht="15.75" customHeight="1">
      <c r="A15" s="41" t="s">
        <v>61</v>
      </c>
      <c r="B15" s="42">
        <f>1.5%*B6</f>
        <v>0</v>
      </c>
      <c r="F15" s="53"/>
    </row>
    <row r="16" spans="1:6">
      <c r="A16" s="41" t="s">
        <v>56</v>
      </c>
      <c r="B16" s="52">
        <f>SUM(B8:B15)</f>
        <v>1303000</v>
      </c>
      <c r="F16" s="53"/>
    </row>
    <row r="17" spans="2:6">
      <c r="B17" s="40"/>
      <c r="F17" s="53"/>
    </row>
    <row r="18" spans="2:6">
      <c r="B18" s="40"/>
      <c r="F18" s="53"/>
    </row>
    <row r="19" spans="2:6">
      <c r="B19" s="40"/>
      <c r="F19" s="53"/>
    </row>
    <row r="20" spans="2:6">
      <c r="B20" s="40"/>
      <c r="F20" s="53"/>
    </row>
    <row r="21" spans="2:6" ht="15.75" customHeight="1">
      <c r="B21" s="40"/>
      <c r="F21" s="53"/>
    </row>
    <row r="22" spans="2:6" ht="15.75" customHeight="1">
      <c r="B22" s="40"/>
      <c r="F22" s="53"/>
    </row>
    <row r="23" spans="2:6" ht="15.75" customHeight="1">
      <c r="B23" s="40"/>
      <c r="F23" s="53"/>
    </row>
    <row r="24" spans="2:6" ht="15.75" customHeight="1">
      <c r="B24" s="40"/>
      <c r="F24" s="53"/>
    </row>
    <row r="25" spans="2:6" ht="15.75" customHeight="1">
      <c r="B25" s="40"/>
      <c r="F25" s="53"/>
    </row>
    <row r="26" spans="2:6" ht="15.75" customHeight="1">
      <c r="B26" s="40"/>
      <c r="F26" s="53"/>
    </row>
    <row r="27" spans="2:6" ht="15.75" customHeight="1">
      <c r="B27" s="40"/>
      <c r="F27" s="53"/>
    </row>
    <row r="28" spans="2:6" ht="15.75" customHeight="1">
      <c r="B28" s="40"/>
      <c r="F28" s="53"/>
    </row>
    <row r="29" spans="2:6" ht="15.75" customHeight="1">
      <c r="B29" s="40"/>
      <c r="F29" s="53"/>
    </row>
    <row r="30" spans="2:6" ht="15.75" customHeight="1">
      <c r="B30" s="40"/>
      <c r="F30" s="53"/>
    </row>
    <row r="31" spans="2:6" ht="15.75" customHeight="1">
      <c r="B31" s="40"/>
      <c r="F31" s="53"/>
    </row>
    <row r="32" spans="2:6" ht="15.75" customHeight="1">
      <c r="B32" s="40"/>
      <c r="F32" s="53"/>
    </row>
    <row r="33" spans="2:6" ht="15.75" customHeight="1">
      <c r="B33" s="40"/>
      <c r="F33" s="53"/>
    </row>
    <row r="34" spans="2:6" ht="15.75" customHeight="1">
      <c r="B34" s="40"/>
      <c r="F34" s="53"/>
    </row>
    <row r="35" spans="2:6" ht="15.75" customHeight="1">
      <c r="B35" s="40"/>
      <c r="F35" s="53"/>
    </row>
    <row r="36" spans="2:6" ht="15.75" customHeight="1">
      <c r="B36" s="40"/>
      <c r="F36" s="53"/>
    </row>
    <row r="37" spans="2:6" ht="15.75" customHeight="1">
      <c r="B37" s="40"/>
      <c r="F37" s="53"/>
    </row>
    <row r="38" spans="2:6" ht="15.75" customHeight="1">
      <c r="B38" s="40"/>
      <c r="F38" s="53"/>
    </row>
    <row r="39" spans="2:6" ht="15.75" customHeight="1">
      <c r="B39" s="40"/>
      <c r="F39" s="53"/>
    </row>
    <row r="40" spans="2:6" ht="15.75" customHeight="1">
      <c r="B40" s="40"/>
      <c r="F40" s="53"/>
    </row>
    <row r="41" spans="2:6" ht="15.75" customHeight="1">
      <c r="B41" s="40"/>
      <c r="F41" s="53"/>
    </row>
    <row r="42" spans="2:6" ht="15.75" customHeight="1">
      <c r="B42" s="40"/>
      <c r="F42" s="53"/>
    </row>
    <row r="43" spans="2:6" ht="15.75" customHeight="1">
      <c r="B43" s="40"/>
      <c r="F43" s="53"/>
    </row>
    <row r="44" spans="2:6" ht="15.75" customHeight="1">
      <c r="B44" s="40"/>
      <c r="F44" s="53"/>
    </row>
    <row r="45" spans="2:6" ht="15.75" customHeight="1">
      <c r="B45" s="40"/>
      <c r="F45" s="53"/>
    </row>
    <row r="46" spans="2:6" ht="15.75" customHeight="1">
      <c r="B46" s="40"/>
      <c r="F46" s="53"/>
    </row>
    <row r="47" spans="2:6" ht="15.75" customHeight="1">
      <c r="B47" s="40"/>
      <c r="F47" s="53"/>
    </row>
    <row r="48" spans="2:6" ht="15.75" customHeight="1">
      <c r="B48" s="40"/>
      <c r="F48" s="53"/>
    </row>
    <row r="49" spans="2:6" ht="15.75" customHeight="1">
      <c r="B49" s="40"/>
      <c r="F49" s="53"/>
    </row>
    <row r="50" spans="2:6" ht="15.75" customHeight="1">
      <c r="B50" s="40"/>
      <c r="F50" s="53"/>
    </row>
    <row r="51" spans="2:6" ht="15.75" customHeight="1">
      <c r="B51" s="40"/>
      <c r="F51" s="53"/>
    </row>
    <row r="52" spans="2:6" ht="15.75" customHeight="1">
      <c r="B52" s="40"/>
      <c r="F52" s="53"/>
    </row>
    <row r="53" spans="2:6" ht="15.75" customHeight="1">
      <c r="B53" s="40"/>
      <c r="F53" s="53"/>
    </row>
    <row r="54" spans="2:6" ht="15.75" customHeight="1">
      <c r="B54" s="40"/>
      <c r="F54" s="53"/>
    </row>
    <row r="55" spans="2:6" ht="15.75" customHeight="1">
      <c r="B55" s="40"/>
      <c r="F55" s="53"/>
    </row>
    <row r="56" spans="2:6" ht="15.75" customHeight="1">
      <c r="B56" s="40"/>
      <c r="F56" s="53"/>
    </row>
    <row r="57" spans="2:6" ht="15.75" customHeight="1">
      <c r="B57" s="40"/>
      <c r="F57" s="53"/>
    </row>
    <row r="58" spans="2:6" ht="15.75" customHeight="1">
      <c r="B58" s="40"/>
      <c r="F58" s="53"/>
    </row>
    <row r="59" spans="2:6" ht="15.75" customHeight="1">
      <c r="B59" s="40"/>
      <c r="F59" s="53"/>
    </row>
    <row r="60" spans="2:6" ht="15.75" customHeight="1">
      <c r="B60" s="40"/>
      <c r="F60" s="53"/>
    </row>
    <row r="61" spans="2:6" ht="15.75" customHeight="1">
      <c r="B61" s="40"/>
      <c r="F61" s="53"/>
    </row>
    <row r="62" spans="2:6" ht="15.75" customHeight="1">
      <c r="B62" s="40"/>
      <c r="F62" s="53"/>
    </row>
    <row r="63" spans="2:6" ht="15.75" customHeight="1">
      <c r="B63" s="40"/>
      <c r="F63" s="53"/>
    </row>
    <row r="64" spans="2:6" ht="15.75" customHeight="1">
      <c r="B64" s="40"/>
      <c r="F64" s="53"/>
    </row>
    <row r="65" spans="2:6" ht="15.75" customHeight="1">
      <c r="B65" s="40"/>
      <c r="F65" s="53"/>
    </row>
    <row r="66" spans="2:6" ht="15.75" customHeight="1">
      <c r="B66" s="40"/>
      <c r="F66" s="53"/>
    </row>
    <row r="67" spans="2:6" ht="15.75" customHeight="1">
      <c r="B67" s="40"/>
      <c r="F67" s="53"/>
    </row>
    <row r="68" spans="2:6" ht="15.75" customHeight="1">
      <c r="B68" s="40"/>
      <c r="F68" s="53"/>
    </row>
    <row r="69" spans="2:6" ht="15.75" customHeight="1">
      <c r="B69" s="40"/>
      <c r="F69" s="53"/>
    </row>
    <row r="70" spans="2:6" ht="15.75" customHeight="1">
      <c r="B70" s="40"/>
      <c r="F70" s="53"/>
    </row>
    <row r="71" spans="2:6" ht="15.75" customHeight="1">
      <c r="B71" s="40"/>
      <c r="F71" s="53"/>
    </row>
    <row r="72" spans="2:6" ht="15.75" customHeight="1">
      <c r="B72" s="40"/>
      <c r="F72" s="53"/>
    </row>
    <row r="73" spans="2:6" ht="15.75" customHeight="1">
      <c r="B73" s="40"/>
      <c r="F73" s="53"/>
    </row>
    <row r="74" spans="2:6" ht="15.75" customHeight="1">
      <c r="B74" s="40"/>
      <c r="F74" s="53"/>
    </row>
    <row r="75" spans="2:6" ht="15.75" customHeight="1">
      <c r="B75" s="40"/>
      <c r="F75" s="53"/>
    </row>
    <row r="76" spans="2:6" ht="15.75" customHeight="1">
      <c r="B76" s="40"/>
      <c r="F76" s="53"/>
    </row>
    <row r="77" spans="2:6" ht="15.75" customHeight="1">
      <c r="B77" s="40"/>
      <c r="F77" s="53"/>
    </row>
    <row r="78" spans="2:6" ht="15.75" customHeight="1">
      <c r="B78" s="40"/>
      <c r="F78" s="53"/>
    </row>
    <row r="79" spans="2:6" ht="15.75" customHeight="1">
      <c r="B79" s="40"/>
      <c r="F79" s="53"/>
    </row>
    <row r="80" spans="2:6" ht="15.75" customHeight="1">
      <c r="B80" s="40"/>
      <c r="F80" s="53"/>
    </row>
    <row r="81" spans="2:6" ht="15.75" customHeight="1">
      <c r="B81" s="40"/>
      <c r="F81" s="53"/>
    </row>
    <row r="82" spans="2:6" ht="15.75" customHeight="1">
      <c r="B82" s="40"/>
      <c r="F82" s="53"/>
    </row>
    <row r="83" spans="2:6" ht="15.75" customHeight="1">
      <c r="B83" s="40"/>
      <c r="F83" s="53"/>
    </row>
    <row r="84" spans="2:6" ht="15.75" customHeight="1">
      <c r="B84" s="40"/>
      <c r="F84" s="53"/>
    </row>
    <row r="85" spans="2:6" ht="15.75" customHeight="1">
      <c r="B85" s="40"/>
      <c r="F85" s="53"/>
    </row>
    <row r="86" spans="2:6" ht="15.75" customHeight="1">
      <c r="B86" s="40"/>
      <c r="F86" s="53"/>
    </row>
    <row r="87" spans="2:6" ht="15.75" customHeight="1">
      <c r="B87" s="40"/>
      <c r="F87" s="53"/>
    </row>
    <row r="88" spans="2:6" ht="15.75" customHeight="1">
      <c r="B88" s="40"/>
      <c r="F88" s="53"/>
    </row>
    <row r="89" spans="2:6" ht="15.75" customHeight="1">
      <c r="B89" s="40"/>
      <c r="F89" s="53"/>
    </row>
    <row r="90" spans="2:6" ht="15.75" customHeight="1">
      <c r="B90" s="40"/>
      <c r="F90" s="53"/>
    </row>
    <row r="91" spans="2:6" ht="15.75" customHeight="1">
      <c r="B91" s="40"/>
      <c r="F91" s="53"/>
    </row>
    <row r="92" spans="2:6" ht="15.75" customHeight="1">
      <c r="B92" s="40"/>
      <c r="F92" s="53"/>
    </row>
    <row r="93" spans="2:6" ht="15.75" customHeight="1">
      <c r="B93" s="40"/>
      <c r="F93" s="53"/>
    </row>
    <row r="94" spans="2:6" ht="15.75" customHeight="1">
      <c r="B94" s="40"/>
      <c r="F94" s="53"/>
    </row>
    <row r="95" spans="2:6" ht="15.75" customHeight="1">
      <c r="B95" s="40"/>
      <c r="F95" s="53"/>
    </row>
    <row r="96" spans="2:6" ht="15.75" customHeight="1">
      <c r="B96" s="40"/>
      <c r="F96" s="53"/>
    </row>
    <row r="97" spans="2:6" ht="15.75" customHeight="1">
      <c r="B97" s="40"/>
      <c r="F97" s="53"/>
    </row>
    <row r="98" spans="2:6" ht="15.75" customHeight="1">
      <c r="B98" s="40"/>
      <c r="F98" s="53"/>
    </row>
    <row r="99" spans="2:6" ht="15.75" customHeight="1">
      <c r="B99" s="40"/>
      <c r="F99" s="53"/>
    </row>
    <row r="100" spans="2:6" ht="15.75" customHeight="1">
      <c r="B100" s="40"/>
      <c r="F100" s="53"/>
    </row>
    <row r="101" spans="2:6" ht="15.75" customHeight="1">
      <c r="B101" s="40"/>
      <c r="F101" s="53"/>
    </row>
    <row r="102" spans="2:6" ht="15.75" customHeight="1">
      <c r="B102" s="40"/>
      <c r="F102" s="53"/>
    </row>
    <row r="103" spans="2:6" ht="15.75" customHeight="1">
      <c r="B103" s="40"/>
      <c r="F103" s="53"/>
    </row>
    <row r="104" spans="2:6" ht="15.75" customHeight="1">
      <c r="B104" s="40"/>
      <c r="F104" s="53"/>
    </row>
    <row r="105" spans="2:6" ht="15.75" customHeight="1">
      <c r="B105" s="40"/>
      <c r="F105" s="53"/>
    </row>
    <row r="106" spans="2:6" ht="15.75" customHeight="1">
      <c r="B106" s="40"/>
      <c r="F106" s="53"/>
    </row>
    <row r="107" spans="2:6" ht="15.75" customHeight="1">
      <c r="B107" s="40"/>
      <c r="F107" s="53"/>
    </row>
    <row r="108" spans="2:6" ht="15.75" customHeight="1">
      <c r="B108" s="40"/>
      <c r="F108" s="53"/>
    </row>
    <row r="109" spans="2:6" ht="15.75" customHeight="1">
      <c r="B109" s="40"/>
      <c r="F109" s="53"/>
    </row>
    <row r="110" spans="2:6" ht="15.75" customHeight="1">
      <c r="B110" s="40"/>
      <c r="F110" s="53"/>
    </row>
    <row r="111" spans="2:6" ht="15.75" customHeight="1">
      <c r="B111" s="40"/>
      <c r="F111" s="53"/>
    </row>
    <row r="112" spans="2:6" ht="15.75" customHeight="1">
      <c r="B112" s="40"/>
      <c r="F112" s="53"/>
    </row>
    <row r="113" spans="2:6" ht="15.75" customHeight="1">
      <c r="B113" s="40"/>
      <c r="F113" s="53"/>
    </row>
    <row r="114" spans="2:6" ht="15.75" customHeight="1">
      <c r="B114" s="40"/>
      <c r="F114" s="53"/>
    </row>
    <row r="115" spans="2:6" ht="15.75" customHeight="1">
      <c r="B115" s="40"/>
      <c r="F115" s="53"/>
    </row>
    <row r="116" spans="2:6" ht="15.75" customHeight="1">
      <c r="B116" s="40"/>
      <c r="F116" s="53"/>
    </row>
    <row r="117" spans="2:6" ht="15.75" customHeight="1">
      <c r="B117" s="40"/>
      <c r="F117" s="53"/>
    </row>
    <row r="118" spans="2:6" ht="15.75" customHeight="1">
      <c r="B118" s="40"/>
      <c r="F118" s="53"/>
    </row>
    <row r="119" spans="2:6" ht="15.75" customHeight="1">
      <c r="B119" s="40"/>
      <c r="F119" s="53"/>
    </row>
    <row r="120" spans="2:6" ht="15.75" customHeight="1">
      <c r="B120" s="40"/>
      <c r="F120" s="53"/>
    </row>
    <row r="121" spans="2:6" ht="15.75" customHeight="1">
      <c r="B121" s="40"/>
      <c r="F121" s="53"/>
    </row>
    <row r="122" spans="2:6" ht="15.75" customHeight="1">
      <c r="B122" s="40"/>
      <c r="F122" s="53"/>
    </row>
    <row r="123" spans="2:6" ht="15.75" customHeight="1">
      <c r="B123" s="40"/>
      <c r="F123" s="53"/>
    </row>
    <row r="124" spans="2:6" ht="15.75" customHeight="1">
      <c r="B124" s="40"/>
      <c r="F124" s="53"/>
    </row>
    <row r="125" spans="2:6" ht="15.75" customHeight="1">
      <c r="B125" s="40"/>
      <c r="F125" s="53"/>
    </row>
    <row r="126" spans="2:6" ht="15.75" customHeight="1">
      <c r="B126" s="40"/>
      <c r="F126" s="53"/>
    </row>
    <row r="127" spans="2:6" ht="15.75" customHeight="1">
      <c r="B127" s="40"/>
      <c r="F127" s="53"/>
    </row>
    <row r="128" spans="2:6" ht="15.75" customHeight="1">
      <c r="B128" s="40"/>
      <c r="F128" s="53"/>
    </row>
    <row r="129" spans="2:6" ht="15.75" customHeight="1">
      <c r="B129" s="40"/>
      <c r="F129" s="53"/>
    </row>
    <row r="130" spans="2:6" ht="15.75" customHeight="1">
      <c r="B130" s="40"/>
      <c r="F130" s="53"/>
    </row>
    <row r="131" spans="2:6" ht="15.75" customHeight="1">
      <c r="B131" s="40"/>
      <c r="F131" s="53"/>
    </row>
    <row r="132" spans="2:6" ht="15.75" customHeight="1">
      <c r="B132" s="40"/>
      <c r="F132" s="53"/>
    </row>
    <row r="133" spans="2:6" ht="15.75" customHeight="1">
      <c r="B133" s="40"/>
      <c r="F133" s="53"/>
    </row>
    <row r="134" spans="2:6" ht="15.75" customHeight="1">
      <c r="B134" s="40"/>
      <c r="F134" s="53"/>
    </row>
    <row r="135" spans="2:6" ht="15.75" customHeight="1">
      <c r="B135" s="40"/>
      <c r="F135" s="53"/>
    </row>
    <row r="136" spans="2:6" ht="15.75" customHeight="1">
      <c r="B136" s="40"/>
      <c r="F136" s="53"/>
    </row>
    <row r="137" spans="2:6" ht="15.75" customHeight="1">
      <c r="B137" s="40"/>
      <c r="F137" s="53"/>
    </row>
    <row r="138" spans="2:6" ht="15.75" customHeight="1">
      <c r="B138" s="40"/>
      <c r="F138" s="53"/>
    </row>
    <row r="139" spans="2:6" ht="15.75" customHeight="1">
      <c r="B139" s="40"/>
      <c r="F139" s="53"/>
    </row>
    <row r="140" spans="2:6" ht="15.75" customHeight="1">
      <c r="B140" s="40"/>
      <c r="F140" s="53"/>
    </row>
    <row r="141" spans="2:6" ht="15.75" customHeight="1">
      <c r="B141" s="40"/>
      <c r="F141" s="53"/>
    </row>
    <row r="142" spans="2:6" ht="15.75" customHeight="1">
      <c r="B142" s="40"/>
      <c r="F142" s="53"/>
    </row>
    <row r="143" spans="2:6" ht="15.75" customHeight="1">
      <c r="B143" s="40"/>
      <c r="F143" s="53"/>
    </row>
    <row r="144" spans="2:6" ht="15.75" customHeight="1">
      <c r="B144" s="40"/>
      <c r="F144" s="53"/>
    </row>
    <row r="145" spans="2:6" ht="15.75" customHeight="1">
      <c r="B145" s="40"/>
      <c r="F145" s="53"/>
    </row>
    <row r="146" spans="2:6" ht="15.75" customHeight="1">
      <c r="B146" s="40"/>
      <c r="F146" s="53"/>
    </row>
    <row r="147" spans="2:6" ht="15.75" customHeight="1">
      <c r="B147" s="40"/>
      <c r="F147" s="53"/>
    </row>
    <row r="148" spans="2:6" ht="15.75" customHeight="1">
      <c r="B148" s="40"/>
      <c r="F148" s="53"/>
    </row>
    <row r="149" spans="2:6" ht="15.75" customHeight="1">
      <c r="B149" s="40"/>
      <c r="F149" s="53"/>
    </row>
    <row r="150" spans="2:6" ht="15.75" customHeight="1">
      <c r="B150" s="40"/>
      <c r="F150" s="53"/>
    </row>
    <row r="151" spans="2:6" ht="15.75" customHeight="1">
      <c r="B151" s="40"/>
      <c r="F151" s="53"/>
    </row>
    <row r="152" spans="2:6" ht="15.75" customHeight="1">
      <c r="B152" s="40"/>
      <c r="F152" s="53"/>
    </row>
    <row r="153" spans="2:6" ht="15.75" customHeight="1">
      <c r="B153" s="40"/>
      <c r="F153" s="53"/>
    </row>
    <row r="154" spans="2:6" ht="15.75" customHeight="1">
      <c r="B154" s="40"/>
      <c r="F154" s="53"/>
    </row>
    <row r="155" spans="2:6" ht="15.75" customHeight="1">
      <c r="B155" s="40"/>
      <c r="F155" s="53"/>
    </row>
    <row r="156" spans="2:6" ht="15.75" customHeight="1">
      <c r="B156" s="40"/>
      <c r="F156" s="53"/>
    </row>
    <row r="157" spans="2:6" ht="15.75" customHeight="1">
      <c r="B157" s="40"/>
      <c r="F157" s="53"/>
    </row>
    <row r="158" spans="2:6" ht="15.75" customHeight="1">
      <c r="B158" s="40"/>
      <c r="F158" s="53"/>
    </row>
    <row r="159" spans="2:6" ht="15.75" customHeight="1">
      <c r="B159" s="40"/>
      <c r="F159" s="53"/>
    </row>
    <row r="160" spans="2:6" ht="15.75" customHeight="1">
      <c r="B160" s="40"/>
      <c r="F160" s="53"/>
    </row>
    <row r="161" spans="2:6" ht="15.75" customHeight="1">
      <c r="B161" s="40"/>
      <c r="F161" s="53"/>
    </row>
    <row r="162" spans="2:6" ht="15.75" customHeight="1">
      <c r="B162" s="40"/>
      <c r="F162" s="53"/>
    </row>
    <row r="163" spans="2:6" ht="15.75" customHeight="1">
      <c r="B163" s="40"/>
      <c r="F163" s="53"/>
    </row>
    <row r="164" spans="2:6" ht="15.75" customHeight="1">
      <c r="B164" s="40"/>
      <c r="F164" s="53"/>
    </row>
    <row r="165" spans="2:6" ht="15.75" customHeight="1">
      <c r="B165" s="40"/>
      <c r="F165" s="53"/>
    </row>
    <row r="166" spans="2:6" ht="15.75" customHeight="1">
      <c r="B166" s="40"/>
      <c r="F166" s="53"/>
    </row>
    <row r="167" spans="2:6" ht="15.75" customHeight="1">
      <c r="B167" s="40"/>
      <c r="F167" s="53"/>
    </row>
    <row r="168" spans="2:6" ht="15.75" customHeight="1">
      <c r="B168" s="40"/>
      <c r="F168" s="53"/>
    </row>
    <row r="169" spans="2:6" ht="15.75" customHeight="1">
      <c r="B169" s="40"/>
      <c r="F169" s="53"/>
    </row>
    <row r="170" spans="2:6" ht="15.75" customHeight="1">
      <c r="B170" s="40"/>
      <c r="F170" s="53"/>
    </row>
    <row r="171" spans="2:6" ht="15.75" customHeight="1">
      <c r="B171" s="40"/>
      <c r="F171" s="53"/>
    </row>
    <row r="172" spans="2:6" ht="15.75" customHeight="1">
      <c r="B172" s="40"/>
      <c r="F172" s="53"/>
    </row>
    <row r="173" spans="2:6" ht="15.75" customHeight="1">
      <c r="B173" s="40"/>
      <c r="F173" s="53"/>
    </row>
    <row r="174" spans="2:6" ht="15.75" customHeight="1">
      <c r="B174" s="40"/>
      <c r="F174" s="53"/>
    </row>
    <row r="175" spans="2:6" ht="15.75" customHeight="1">
      <c r="B175" s="40"/>
      <c r="F175" s="53"/>
    </row>
    <row r="176" spans="2:6" ht="15.75" customHeight="1">
      <c r="B176" s="40"/>
      <c r="F176" s="53"/>
    </row>
    <row r="177" spans="2:6" ht="15.75" customHeight="1">
      <c r="B177" s="40"/>
      <c r="F177" s="53"/>
    </row>
    <row r="178" spans="2:6" ht="15.75" customHeight="1">
      <c r="B178" s="40"/>
      <c r="F178" s="53"/>
    </row>
    <row r="179" spans="2:6" ht="15.75" customHeight="1">
      <c r="B179" s="40"/>
      <c r="F179" s="53"/>
    </row>
    <row r="180" spans="2:6" ht="15.75" customHeight="1">
      <c r="B180" s="40"/>
      <c r="F180" s="53"/>
    </row>
    <row r="181" spans="2:6" ht="15.75" customHeight="1">
      <c r="B181" s="40"/>
      <c r="F181" s="53"/>
    </row>
    <row r="182" spans="2:6" ht="15.75" customHeight="1">
      <c r="B182" s="40"/>
      <c r="F182" s="53"/>
    </row>
    <row r="183" spans="2:6" ht="15.75" customHeight="1">
      <c r="B183" s="40"/>
      <c r="F183" s="53"/>
    </row>
    <row r="184" spans="2:6" ht="15.75" customHeight="1">
      <c r="B184" s="40"/>
      <c r="F184" s="53"/>
    </row>
    <row r="185" spans="2:6" ht="15.75" customHeight="1">
      <c r="B185" s="40"/>
      <c r="F185" s="53"/>
    </row>
    <row r="186" spans="2:6" ht="15.75" customHeight="1">
      <c r="B186" s="40"/>
      <c r="F186" s="53"/>
    </row>
    <row r="187" spans="2:6" ht="15.75" customHeight="1">
      <c r="B187" s="40"/>
      <c r="F187" s="53"/>
    </row>
    <row r="188" spans="2:6" ht="15.75" customHeight="1">
      <c r="B188" s="40"/>
      <c r="F188" s="53"/>
    </row>
    <row r="189" spans="2:6" ht="15.75" customHeight="1">
      <c r="B189" s="40"/>
      <c r="F189" s="53"/>
    </row>
    <row r="190" spans="2:6" ht="15.75" customHeight="1">
      <c r="B190" s="40"/>
      <c r="F190" s="53"/>
    </row>
    <row r="191" spans="2:6" ht="15.75" customHeight="1">
      <c r="B191" s="40"/>
      <c r="F191" s="53"/>
    </row>
    <row r="192" spans="2:6" ht="15.75" customHeight="1">
      <c r="B192" s="40"/>
      <c r="F192" s="53"/>
    </row>
    <row r="193" spans="2:6" ht="15.75" customHeight="1">
      <c r="B193" s="40"/>
      <c r="F193" s="53"/>
    </row>
    <row r="194" spans="2:6" ht="15.75" customHeight="1">
      <c r="B194" s="40"/>
      <c r="F194" s="53"/>
    </row>
    <row r="195" spans="2:6" ht="15.75" customHeight="1">
      <c r="B195" s="40"/>
      <c r="F195" s="53"/>
    </row>
    <row r="196" spans="2:6" ht="15.75" customHeight="1">
      <c r="B196" s="40"/>
      <c r="F196" s="53"/>
    </row>
    <row r="197" spans="2:6" ht="15.75" customHeight="1">
      <c r="B197" s="40"/>
      <c r="F197" s="53"/>
    </row>
    <row r="198" spans="2:6" ht="15.75" customHeight="1">
      <c r="B198" s="40"/>
      <c r="F198" s="53"/>
    </row>
    <row r="199" spans="2:6" ht="15.75" customHeight="1">
      <c r="B199" s="40"/>
      <c r="F199" s="53"/>
    </row>
    <row r="200" spans="2:6" ht="15.75" customHeight="1">
      <c r="B200" s="40"/>
      <c r="F200" s="53"/>
    </row>
    <row r="201" spans="2:6" ht="15.75" customHeight="1">
      <c r="B201" s="40"/>
      <c r="F201" s="53"/>
    </row>
    <row r="202" spans="2:6" ht="15.75" customHeight="1">
      <c r="B202" s="40"/>
      <c r="F202" s="53"/>
    </row>
    <row r="203" spans="2:6" ht="15.75" customHeight="1">
      <c r="B203" s="40"/>
      <c r="F203" s="53"/>
    </row>
    <row r="204" spans="2:6" ht="15.75" customHeight="1">
      <c r="B204" s="40"/>
      <c r="F204" s="53"/>
    </row>
    <row r="205" spans="2:6" ht="15.75" customHeight="1">
      <c r="B205" s="40"/>
      <c r="F205" s="53"/>
    </row>
    <row r="206" spans="2:6" ht="15.75" customHeight="1">
      <c r="B206" s="40"/>
      <c r="F206" s="53"/>
    </row>
    <row r="207" spans="2:6" ht="15.75" customHeight="1">
      <c r="B207" s="40"/>
      <c r="F207" s="53"/>
    </row>
    <row r="208" spans="2:6" ht="15.75" customHeight="1">
      <c r="B208" s="40"/>
      <c r="F208" s="53"/>
    </row>
    <row r="209" spans="2:6" ht="15.75" customHeight="1">
      <c r="B209" s="40"/>
      <c r="F209" s="53"/>
    </row>
    <row r="210" spans="2:6" ht="15.75" customHeight="1">
      <c r="B210" s="40"/>
      <c r="F210" s="53"/>
    </row>
    <row r="211" spans="2:6" ht="15.75" customHeight="1">
      <c r="B211" s="40"/>
      <c r="F211" s="53"/>
    </row>
    <row r="212" spans="2:6" ht="15.75" customHeight="1">
      <c r="B212" s="40"/>
      <c r="F212" s="53"/>
    </row>
    <row r="213" spans="2:6" ht="15.75" customHeight="1">
      <c r="B213" s="40"/>
      <c r="F213" s="53"/>
    </row>
    <row r="214" spans="2:6" ht="15.75" customHeight="1">
      <c r="B214" s="40"/>
      <c r="F214" s="53"/>
    </row>
    <row r="215" spans="2:6" ht="15.75" customHeight="1">
      <c r="B215" s="40"/>
      <c r="F215" s="53"/>
    </row>
    <row r="216" spans="2:6" ht="15.75" customHeight="1">
      <c r="B216" s="40"/>
      <c r="F216" s="53"/>
    </row>
    <row r="217" spans="2:6" ht="15.75" customHeight="1">
      <c r="B217" s="40"/>
      <c r="F217" s="53"/>
    </row>
    <row r="218" spans="2:6" ht="15.75" customHeight="1">
      <c r="B218" s="40"/>
      <c r="F218" s="53"/>
    </row>
    <row r="219" spans="2:6" ht="15.75" customHeight="1">
      <c r="B219" s="40"/>
      <c r="F219" s="53"/>
    </row>
    <row r="220" spans="2:6" ht="15.75" customHeight="1">
      <c r="B220" s="40"/>
      <c r="F220" s="53"/>
    </row>
    <row r="221" spans="2:6" ht="15.75" customHeight="1">
      <c r="B221" s="40"/>
      <c r="F221" s="53"/>
    </row>
    <row r="222" spans="2:6" ht="15.75" customHeight="1">
      <c r="B222" s="40"/>
      <c r="F222" s="53"/>
    </row>
    <row r="223" spans="2:6" ht="15.75" customHeight="1">
      <c r="B223" s="40"/>
      <c r="F223" s="53"/>
    </row>
    <row r="224" spans="2:6" ht="15.75" customHeight="1">
      <c r="B224" s="40"/>
      <c r="F224" s="53"/>
    </row>
    <row r="225" spans="2:6" ht="15.75" customHeight="1">
      <c r="B225" s="40"/>
      <c r="F225" s="53"/>
    </row>
    <row r="226" spans="2:6" ht="15.75" customHeight="1">
      <c r="B226" s="40"/>
      <c r="F226" s="53"/>
    </row>
    <row r="227" spans="2:6" ht="15.75" customHeight="1">
      <c r="B227" s="40"/>
      <c r="F227" s="53"/>
    </row>
    <row r="228" spans="2:6" ht="15.75" customHeight="1">
      <c r="B228" s="40"/>
      <c r="F228" s="53"/>
    </row>
    <row r="229" spans="2:6" ht="15.75" customHeight="1">
      <c r="B229" s="40"/>
      <c r="F229" s="53"/>
    </row>
    <row r="230" spans="2:6" ht="15.75" customHeight="1">
      <c r="B230" s="40"/>
      <c r="F230" s="53"/>
    </row>
    <row r="231" spans="2:6" ht="15.75" customHeight="1">
      <c r="B231" s="40"/>
      <c r="F231" s="53"/>
    </row>
    <row r="232" spans="2:6" ht="15.75" customHeight="1">
      <c r="B232" s="40"/>
      <c r="F232" s="53"/>
    </row>
    <row r="233" spans="2:6" ht="15.75" customHeight="1">
      <c r="B233" s="40"/>
      <c r="F233" s="53"/>
    </row>
    <row r="234" spans="2:6" ht="15.75" customHeight="1">
      <c r="B234" s="40"/>
      <c r="F234" s="53"/>
    </row>
    <row r="235" spans="2:6" ht="15.75" customHeight="1">
      <c r="B235" s="40"/>
      <c r="F235" s="53"/>
    </row>
    <row r="236" spans="2:6" ht="15.75" customHeight="1">
      <c r="B236" s="40"/>
      <c r="F236" s="53"/>
    </row>
    <row r="237" spans="2:6" ht="15.75" customHeight="1">
      <c r="B237" s="40"/>
      <c r="F237" s="53"/>
    </row>
    <row r="238" spans="2:6" ht="15.75" customHeight="1">
      <c r="B238" s="40"/>
      <c r="F238" s="53"/>
    </row>
    <row r="239" spans="2:6" ht="15.75" customHeight="1">
      <c r="B239" s="40"/>
      <c r="F239" s="53"/>
    </row>
    <row r="240" spans="2:6" ht="15.75" customHeight="1">
      <c r="B240" s="40"/>
      <c r="F240" s="53"/>
    </row>
    <row r="241" spans="2:6" ht="15.75" customHeight="1">
      <c r="B241" s="40"/>
      <c r="F241" s="53"/>
    </row>
    <row r="242" spans="2:6" ht="15.75" customHeight="1">
      <c r="B242" s="40"/>
      <c r="F242" s="53"/>
    </row>
    <row r="243" spans="2:6" ht="15.75" customHeight="1">
      <c r="B243" s="40"/>
      <c r="F243" s="53"/>
    </row>
    <row r="244" spans="2:6" ht="15.75" customHeight="1">
      <c r="B244" s="40"/>
      <c r="F244" s="53"/>
    </row>
    <row r="245" spans="2:6" ht="15.75" customHeight="1">
      <c r="B245" s="40"/>
      <c r="F245" s="53"/>
    </row>
    <row r="246" spans="2:6" ht="15.75" customHeight="1">
      <c r="B246" s="40"/>
      <c r="F246" s="53"/>
    </row>
    <row r="247" spans="2:6" ht="15.75" customHeight="1">
      <c r="B247" s="40"/>
      <c r="F247" s="53"/>
    </row>
    <row r="248" spans="2:6" ht="15.75" customHeight="1">
      <c r="B248" s="40"/>
      <c r="F248" s="53"/>
    </row>
    <row r="249" spans="2:6" ht="15.75" customHeight="1">
      <c r="B249" s="40"/>
      <c r="F249" s="53"/>
    </row>
    <row r="250" spans="2:6" ht="15.75" customHeight="1">
      <c r="B250" s="40"/>
      <c r="F250" s="53"/>
    </row>
    <row r="251" spans="2:6" ht="15.75" customHeight="1">
      <c r="B251" s="40"/>
      <c r="F251" s="53"/>
    </row>
    <row r="252" spans="2:6" ht="15.75" customHeight="1">
      <c r="B252" s="40"/>
      <c r="F252" s="53"/>
    </row>
    <row r="253" spans="2:6" ht="15.75" customHeight="1">
      <c r="B253" s="40"/>
      <c r="F253" s="53"/>
    </row>
    <row r="254" spans="2:6" ht="15.75" customHeight="1">
      <c r="B254" s="40"/>
      <c r="F254" s="53"/>
    </row>
    <row r="255" spans="2:6" ht="15.75" customHeight="1">
      <c r="B255" s="40"/>
      <c r="F255" s="53"/>
    </row>
    <row r="256" spans="2:6" ht="15.75" customHeight="1">
      <c r="B256" s="40"/>
      <c r="F256" s="53"/>
    </row>
    <row r="257" spans="2:6" ht="15.75" customHeight="1">
      <c r="B257" s="40"/>
      <c r="F257" s="53"/>
    </row>
    <row r="258" spans="2:6" ht="15.75" customHeight="1">
      <c r="B258" s="40"/>
      <c r="F258" s="53"/>
    </row>
    <row r="259" spans="2:6" ht="15.75" customHeight="1">
      <c r="B259" s="40"/>
      <c r="F259" s="53"/>
    </row>
    <row r="260" spans="2:6" ht="15.75" customHeight="1">
      <c r="B260" s="40"/>
      <c r="F260" s="53"/>
    </row>
    <row r="261" spans="2:6" ht="15.75" customHeight="1">
      <c r="B261" s="40"/>
      <c r="F261" s="53"/>
    </row>
    <row r="262" spans="2:6" ht="15.75" customHeight="1">
      <c r="B262" s="40"/>
      <c r="F262" s="53"/>
    </row>
    <row r="263" spans="2:6" ht="15.75" customHeight="1">
      <c r="B263" s="40"/>
      <c r="F263" s="53"/>
    </row>
    <row r="264" spans="2:6" ht="15.75" customHeight="1">
      <c r="B264" s="40"/>
      <c r="F264" s="53"/>
    </row>
    <row r="265" spans="2:6" ht="15.75" customHeight="1">
      <c r="B265" s="40"/>
      <c r="F265" s="53"/>
    </row>
    <row r="266" spans="2:6" ht="15.75" customHeight="1">
      <c r="B266" s="40"/>
      <c r="F266" s="53"/>
    </row>
    <row r="267" spans="2:6" ht="15.75" customHeight="1">
      <c r="B267" s="40"/>
      <c r="F267" s="53"/>
    </row>
    <row r="268" spans="2:6" ht="15.75" customHeight="1">
      <c r="B268" s="40"/>
      <c r="F268" s="53"/>
    </row>
    <row r="269" spans="2:6" ht="15.75" customHeight="1">
      <c r="B269" s="40"/>
      <c r="F269" s="53"/>
    </row>
    <row r="270" spans="2:6" ht="15.75" customHeight="1">
      <c r="B270" s="40"/>
      <c r="F270" s="53"/>
    </row>
    <row r="271" spans="2:6" ht="15.75" customHeight="1">
      <c r="B271" s="40"/>
      <c r="F271" s="53"/>
    </row>
    <row r="272" spans="2:6" ht="15.75" customHeight="1">
      <c r="B272" s="40"/>
      <c r="F272" s="53"/>
    </row>
    <row r="273" spans="2:6" ht="15.75" customHeight="1">
      <c r="B273" s="40"/>
      <c r="F273" s="53"/>
    </row>
    <row r="274" spans="2:6" ht="15.75" customHeight="1">
      <c r="B274" s="40"/>
      <c r="F274" s="53"/>
    </row>
    <row r="275" spans="2:6" ht="15.75" customHeight="1">
      <c r="B275" s="40"/>
      <c r="F275" s="53"/>
    </row>
    <row r="276" spans="2:6" ht="15.75" customHeight="1">
      <c r="B276" s="40"/>
      <c r="F276" s="53"/>
    </row>
    <row r="277" spans="2:6" ht="15.75" customHeight="1">
      <c r="B277" s="40"/>
      <c r="F277" s="53"/>
    </row>
    <row r="278" spans="2:6" ht="15.75" customHeight="1">
      <c r="B278" s="40"/>
      <c r="F278" s="53"/>
    </row>
    <row r="279" spans="2:6" ht="15.75" customHeight="1">
      <c r="B279" s="40"/>
      <c r="F279" s="53"/>
    </row>
    <row r="280" spans="2:6" ht="15.75" customHeight="1">
      <c r="B280" s="40"/>
      <c r="F280" s="53"/>
    </row>
    <row r="281" spans="2:6" ht="15.75" customHeight="1">
      <c r="B281" s="40"/>
      <c r="F281" s="53"/>
    </row>
    <row r="282" spans="2:6" ht="15.75" customHeight="1">
      <c r="B282" s="40"/>
      <c r="F282" s="53"/>
    </row>
    <row r="283" spans="2:6" ht="15.75" customHeight="1">
      <c r="B283" s="40"/>
      <c r="F283" s="53"/>
    </row>
    <row r="284" spans="2:6" ht="15.75" customHeight="1">
      <c r="B284" s="40"/>
      <c r="F284" s="53"/>
    </row>
    <row r="285" spans="2:6" ht="15.75" customHeight="1">
      <c r="B285" s="40"/>
      <c r="F285" s="53"/>
    </row>
    <row r="286" spans="2:6" ht="15.75" customHeight="1">
      <c r="B286" s="40"/>
      <c r="F286" s="53"/>
    </row>
    <row r="287" spans="2:6" ht="15.75" customHeight="1">
      <c r="B287" s="40"/>
      <c r="F287" s="53"/>
    </row>
    <row r="288" spans="2:6" ht="15.75" customHeight="1">
      <c r="B288" s="40"/>
      <c r="F288" s="53"/>
    </row>
    <row r="289" spans="2:6" ht="15.75" customHeight="1">
      <c r="B289" s="40"/>
      <c r="F289" s="53"/>
    </row>
    <row r="290" spans="2:6" ht="15.75" customHeight="1">
      <c r="B290" s="40"/>
      <c r="F290" s="53"/>
    </row>
    <row r="291" spans="2:6" ht="15.75" customHeight="1">
      <c r="B291" s="40"/>
      <c r="F291" s="53"/>
    </row>
    <row r="292" spans="2:6" ht="15.75" customHeight="1">
      <c r="B292" s="40"/>
      <c r="F292" s="53"/>
    </row>
    <row r="293" spans="2:6" ht="15.75" customHeight="1">
      <c r="B293" s="40"/>
      <c r="F293" s="53"/>
    </row>
    <row r="294" spans="2:6" ht="15.75" customHeight="1">
      <c r="B294" s="40"/>
      <c r="F294" s="53"/>
    </row>
    <row r="295" spans="2:6" ht="15.75" customHeight="1">
      <c r="B295" s="40"/>
      <c r="F295" s="53"/>
    </row>
    <row r="296" spans="2:6" ht="15.75" customHeight="1">
      <c r="B296" s="40"/>
      <c r="F296" s="53"/>
    </row>
    <row r="297" spans="2:6" ht="15.75" customHeight="1">
      <c r="B297" s="40"/>
      <c r="F297" s="53"/>
    </row>
    <row r="298" spans="2:6" ht="15.75" customHeight="1">
      <c r="B298" s="40"/>
      <c r="F298" s="53"/>
    </row>
    <row r="299" spans="2:6" ht="15.75" customHeight="1">
      <c r="B299" s="40"/>
      <c r="F299" s="53"/>
    </row>
    <row r="300" spans="2:6" ht="15.75" customHeight="1">
      <c r="B300" s="40"/>
      <c r="F300" s="53"/>
    </row>
    <row r="301" spans="2:6" ht="15.75" customHeight="1">
      <c r="B301" s="40"/>
      <c r="F301" s="53"/>
    </row>
    <row r="302" spans="2:6" ht="15.75" customHeight="1">
      <c r="B302" s="40"/>
      <c r="F302" s="53"/>
    </row>
    <row r="303" spans="2:6" ht="15.75" customHeight="1">
      <c r="B303" s="40"/>
      <c r="F303" s="53"/>
    </row>
    <row r="304" spans="2:6" ht="15.75" customHeight="1">
      <c r="B304" s="40"/>
      <c r="F304" s="53"/>
    </row>
    <row r="305" spans="2:6" ht="15.75" customHeight="1">
      <c r="B305" s="40"/>
      <c r="F305" s="53"/>
    </row>
    <row r="306" spans="2:6" ht="15.75" customHeight="1">
      <c r="B306" s="40"/>
      <c r="F306" s="53"/>
    </row>
    <row r="307" spans="2:6" ht="15.75" customHeight="1">
      <c r="B307" s="40"/>
      <c r="F307" s="53"/>
    </row>
    <row r="308" spans="2:6" ht="15.75" customHeight="1">
      <c r="B308" s="40"/>
      <c r="F308" s="53"/>
    </row>
    <row r="309" spans="2:6" ht="15.75" customHeight="1">
      <c r="B309" s="40"/>
      <c r="F309" s="53"/>
    </row>
    <row r="310" spans="2:6" ht="15.75" customHeight="1">
      <c r="B310" s="40"/>
      <c r="F310" s="53"/>
    </row>
    <row r="311" spans="2:6" ht="15.75" customHeight="1">
      <c r="B311" s="40"/>
      <c r="F311" s="53"/>
    </row>
    <row r="312" spans="2:6" ht="15.75" customHeight="1">
      <c r="B312" s="40"/>
      <c r="F312" s="53"/>
    </row>
    <row r="313" spans="2:6" ht="15.75" customHeight="1">
      <c r="B313" s="40"/>
      <c r="F313" s="53"/>
    </row>
    <row r="314" spans="2:6" ht="15.75" customHeight="1">
      <c r="B314" s="40"/>
      <c r="F314" s="53"/>
    </row>
    <row r="315" spans="2:6" ht="15.75" customHeight="1">
      <c r="B315" s="40"/>
      <c r="F315" s="53"/>
    </row>
    <row r="316" spans="2:6" ht="15.75" customHeight="1">
      <c r="B316" s="40"/>
      <c r="F316" s="53"/>
    </row>
    <row r="317" spans="2:6" ht="15.75" customHeight="1">
      <c r="B317" s="40"/>
      <c r="F317" s="53"/>
    </row>
    <row r="318" spans="2:6" ht="15.75" customHeight="1">
      <c r="B318" s="40"/>
      <c r="F318" s="53"/>
    </row>
    <row r="319" spans="2:6" ht="15.75" customHeight="1">
      <c r="B319" s="40"/>
      <c r="F319" s="53"/>
    </row>
    <row r="320" spans="2:6" ht="15.75" customHeight="1">
      <c r="B320" s="40"/>
      <c r="F320" s="53"/>
    </row>
    <row r="321" spans="2:6" ht="15.75" customHeight="1">
      <c r="B321" s="40"/>
      <c r="F321" s="53"/>
    </row>
    <row r="322" spans="2:6" ht="15.75" customHeight="1">
      <c r="B322" s="40"/>
      <c r="F322" s="53"/>
    </row>
    <row r="323" spans="2:6" ht="15.75" customHeight="1">
      <c r="B323" s="40"/>
      <c r="F323" s="53"/>
    </row>
    <row r="324" spans="2:6" ht="15.75" customHeight="1">
      <c r="B324" s="40"/>
      <c r="F324" s="53"/>
    </row>
    <row r="325" spans="2:6" ht="15.75" customHeight="1">
      <c r="B325" s="40"/>
      <c r="F325" s="53"/>
    </row>
    <row r="326" spans="2:6" ht="15.75" customHeight="1">
      <c r="B326" s="40"/>
      <c r="F326" s="53"/>
    </row>
    <row r="327" spans="2:6" ht="15.75" customHeight="1">
      <c r="B327" s="40"/>
      <c r="F327" s="53"/>
    </row>
    <row r="328" spans="2:6" ht="15.75" customHeight="1">
      <c r="B328" s="40"/>
      <c r="F328" s="53"/>
    </row>
    <row r="329" spans="2:6" ht="15.75" customHeight="1">
      <c r="B329" s="40"/>
      <c r="F329" s="53"/>
    </row>
    <row r="330" spans="2:6" ht="15.75" customHeight="1">
      <c r="B330" s="40"/>
      <c r="F330" s="53"/>
    </row>
    <row r="331" spans="2:6" ht="15.75" customHeight="1">
      <c r="B331" s="40"/>
      <c r="F331" s="53"/>
    </row>
    <row r="332" spans="2:6" ht="15.75" customHeight="1">
      <c r="B332" s="40"/>
      <c r="F332" s="53"/>
    </row>
    <row r="333" spans="2:6" ht="15.75" customHeight="1">
      <c r="B333" s="40"/>
      <c r="F333" s="53"/>
    </row>
    <row r="334" spans="2:6" ht="15.75" customHeight="1">
      <c r="B334" s="40"/>
      <c r="F334" s="53"/>
    </row>
    <row r="335" spans="2:6" ht="15.75" customHeight="1">
      <c r="B335" s="40"/>
      <c r="F335" s="53"/>
    </row>
    <row r="336" spans="2:6" ht="15.75" customHeight="1">
      <c r="B336" s="40"/>
      <c r="F336" s="53"/>
    </row>
    <row r="337" spans="2:6" ht="15.75" customHeight="1">
      <c r="B337" s="40"/>
      <c r="F337" s="53"/>
    </row>
    <row r="338" spans="2:6" ht="15.75" customHeight="1">
      <c r="B338" s="40"/>
      <c r="F338" s="53"/>
    </row>
    <row r="339" spans="2:6" ht="15.75" customHeight="1">
      <c r="B339" s="40"/>
      <c r="F339" s="53"/>
    </row>
    <row r="340" spans="2:6" ht="15.75" customHeight="1">
      <c r="B340" s="40"/>
      <c r="F340" s="53"/>
    </row>
    <row r="341" spans="2:6" ht="15.75" customHeight="1">
      <c r="B341" s="40"/>
      <c r="F341" s="53"/>
    </row>
    <row r="342" spans="2:6" ht="15.75" customHeight="1">
      <c r="B342" s="40"/>
      <c r="F342" s="53"/>
    </row>
    <row r="343" spans="2:6" ht="15.75" customHeight="1">
      <c r="B343" s="40"/>
      <c r="F343" s="53"/>
    </row>
    <row r="344" spans="2:6" ht="15.75" customHeight="1">
      <c r="B344" s="40"/>
      <c r="F344" s="53"/>
    </row>
    <row r="345" spans="2:6" ht="15.75" customHeight="1">
      <c r="B345" s="40"/>
      <c r="F345" s="53"/>
    </row>
    <row r="346" spans="2:6" ht="15.75" customHeight="1">
      <c r="B346" s="40"/>
      <c r="F346" s="53"/>
    </row>
    <row r="347" spans="2:6" ht="15.75" customHeight="1">
      <c r="B347" s="40"/>
      <c r="F347" s="53"/>
    </row>
    <row r="348" spans="2:6" ht="15.75" customHeight="1">
      <c r="B348" s="40"/>
      <c r="F348" s="53"/>
    </row>
    <row r="349" spans="2:6" ht="15.75" customHeight="1">
      <c r="B349" s="40"/>
      <c r="F349" s="53"/>
    </row>
    <row r="350" spans="2:6" ht="15.75" customHeight="1">
      <c r="B350" s="40"/>
      <c r="F350" s="53"/>
    </row>
    <row r="351" spans="2:6" ht="15.75" customHeight="1">
      <c r="B351" s="40"/>
      <c r="F351" s="53"/>
    </row>
    <row r="352" spans="2:6" ht="15.75" customHeight="1">
      <c r="B352" s="40"/>
      <c r="F352" s="53"/>
    </row>
    <row r="353" spans="2:6" ht="15.75" customHeight="1">
      <c r="B353" s="40"/>
      <c r="F353" s="53"/>
    </row>
    <row r="354" spans="2:6" ht="15.75" customHeight="1">
      <c r="B354" s="40"/>
      <c r="F354" s="53"/>
    </row>
    <row r="355" spans="2:6" ht="15.75" customHeight="1">
      <c r="B355" s="40"/>
      <c r="F355" s="53"/>
    </row>
    <row r="356" spans="2:6" ht="15.75" customHeight="1">
      <c r="B356" s="40"/>
      <c r="F356" s="53"/>
    </row>
    <row r="357" spans="2:6" ht="15.75" customHeight="1">
      <c r="B357" s="40"/>
      <c r="F357" s="53"/>
    </row>
    <row r="358" spans="2:6" ht="15.75" customHeight="1">
      <c r="B358" s="40"/>
      <c r="F358" s="53"/>
    </row>
    <row r="359" spans="2:6" ht="15.75" customHeight="1">
      <c r="B359" s="40"/>
      <c r="F359" s="53"/>
    </row>
    <row r="360" spans="2:6" ht="15.75" customHeight="1">
      <c r="B360" s="40"/>
      <c r="F360" s="53"/>
    </row>
    <row r="361" spans="2:6" ht="15.75" customHeight="1">
      <c r="B361" s="40"/>
      <c r="F361" s="53"/>
    </row>
    <row r="362" spans="2:6" ht="15.75" customHeight="1">
      <c r="B362" s="40"/>
      <c r="F362" s="53"/>
    </row>
    <row r="363" spans="2:6" ht="15.75" customHeight="1">
      <c r="B363" s="40"/>
      <c r="F363" s="53"/>
    </row>
    <row r="364" spans="2:6" ht="15.75" customHeight="1">
      <c r="B364" s="40"/>
      <c r="F364" s="53"/>
    </row>
    <row r="365" spans="2:6" ht="15.75" customHeight="1">
      <c r="B365" s="40"/>
      <c r="F365" s="53"/>
    </row>
    <row r="366" spans="2:6" ht="15.75" customHeight="1">
      <c r="B366" s="40"/>
      <c r="F366" s="53"/>
    </row>
    <row r="367" spans="2:6" ht="15.75" customHeight="1">
      <c r="B367" s="40"/>
      <c r="F367" s="53"/>
    </row>
    <row r="368" spans="2:6" ht="15.75" customHeight="1">
      <c r="B368" s="40"/>
      <c r="F368" s="53"/>
    </row>
    <row r="369" spans="2:6" ht="15.75" customHeight="1">
      <c r="B369" s="40"/>
      <c r="F369" s="53"/>
    </row>
    <row r="370" spans="2:6" ht="15.75" customHeight="1">
      <c r="B370" s="40"/>
      <c r="F370" s="53"/>
    </row>
    <row r="371" spans="2:6" ht="15.75" customHeight="1">
      <c r="B371" s="40"/>
      <c r="F371" s="53"/>
    </row>
    <row r="372" spans="2:6" ht="15.75" customHeight="1">
      <c r="B372" s="40"/>
      <c r="F372" s="53"/>
    </row>
    <row r="373" spans="2:6" ht="15.75" customHeight="1">
      <c r="B373" s="40"/>
      <c r="F373" s="53"/>
    </row>
    <row r="374" spans="2:6" ht="15.75" customHeight="1">
      <c r="B374" s="40"/>
      <c r="F374" s="53"/>
    </row>
    <row r="375" spans="2:6" ht="15.75" customHeight="1">
      <c r="B375" s="40"/>
      <c r="F375" s="53"/>
    </row>
    <row r="376" spans="2:6" ht="15.75" customHeight="1">
      <c r="B376" s="40"/>
      <c r="F376" s="53"/>
    </row>
    <row r="377" spans="2:6" ht="15.75" customHeight="1">
      <c r="B377" s="40"/>
      <c r="F377" s="53"/>
    </row>
    <row r="378" spans="2:6" ht="15.75" customHeight="1">
      <c r="B378" s="40"/>
      <c r="F378" s="53"/>
    </row>
    <row r="379" spans="2:6" ht="15.75" customHeight="1">
      <c r="B379" s="40"/>
      <c r="F379" s="53"/>
    </row>
    <row r="380" spans="2:6" ht="15.75" customHeight="1">
      <c r="B380" s="40"/>
      <c r="F380" s="53"/>
    </row>
    <row r="381" spans="2:6" ht="15.75" customHeight="1">
      <c r="B381" s="40"/>
      <c r="F381" s="53"/>
    </row>
    <row r="382" spans="2:6" ht="15.75" customHeight="1">
      <c r="B382" s="40"/>
      <c r="F382" s="53"/>
    </row>
    <row r="383" spans="2:6" ht="15.75" customHeight="1">
      <c r="B383" s="40"/>
      <c r="F383" s="53"/>
    </row>
    <row r="384" spans="2:6" ht="15.75" customHeight="1">
      <c r="B384" s="40"/>
      <c r="F384" s="53"/>
    </row>
    <row r="385" spans="2:6" ht="15.75" customHeight="1">
      <c r="B385" s="40"/>
      <c r="F385" s="53"/>
    </row>
    <row r="386" spans="2:6" ht="15.75" customHeight="1">
      <c r="B386" s="40"/>
      <c r="F386" s="53"/>
    </row>
    <row r="387" spans="2:6" ht="15.75" customHeight="1">
      <c r="B387" s="40"/>
      <c r="F387" s="53"/>
    </row>
    <row r="388" spans="2:6" ht="15.75" customHeight="1">
      <c r="B388" s="40"/>
      <c r="F388" s="53"/>
    </row>
    <row r="389" spans="2:6" ht="15.75" customHeight="1">
      <c r="B389" s="40"/>
      <c r="F389" s="53"/>
    </row>
    <row r="390" spans="2:6" ht="15.75" customHeight="1">
      <c r="B390" s="40"/>
      <c r="F390" s="53"/>
    </row>
    <row r="391" spans="2:6" ht="15.75" customHeight="1">
      <c r="B391" s="40"/>
      <c r="F391" s="53"/>
    </row>
    <row r="392" spans="2:6" ht="15.75" customHeight="1">
      <c r="B392" s="40"/>
      <c r="F392" s="53"/>
    </row>
    <row r="393" spans="2:6" ht="15.75" customHeight="1">
      <c r="B393" s="40"/>
      <c r="F393" s="53"/>
    </row>
    <row r="394" spans="2:6" ht="15.75" customHeight="1">
      <c r="B394" s="40"/>
      <c r="F394" s="53"/>
    </row>
    <row r="395" spans="2:6" ht="15.75" customHeight="1">
      <c r="B395" s="40"/>
      <c r="F395" s="53"/>
    </row>
    <row r="396" spans="2:6" ht="15.75" customHeight="1">
      <c r="B396" s="40"/>
      <c r="F396" s="53"/>
    </row>
    <row r="397" spans="2:6" ht="15.75" customHeight="1">
      <c r="B397" s="40"/>
      <c r="F397" s="53"/>
    </row>
    <row r="398" spans="2:6" ht="15.75" customHeight="1">
      <c r="B398" s="40"/>
      <c r="F398" s="53"/>
    </row>
    <row r="399" spans="2:6" ht="15.75" customHeight="1">
      <c r="B399" s="40"/>
      <c r="F399" s="53"/>
    </row>
    <row r="400" spans="2:6" ht="15.75" customHeight="1">
      <c r="B400" s="40"/>
      <c r="F400" s="53"/>
    </row>
    <row r="401" spans="2:6" ht="15.75" customHeight="1">
      <c r="B401" s="40"/>
      <c r="F401" s="53"/>
    </row>
    <row r="402" spans="2:6" ht="15.75" customHeight="1">
      <c r="B402" s="40"/>
      <c r="F402" s="53"/>
    </row>
    <row r="403" spans="2:6" ht="15.75" customHeight="1">
      <c r="B403" s="40"/>
      <c r="F403" s="53"/>
    </row>
    <row r="404" spans="2:6" ht="15.75" customHeight="1">
      <c r="B404" s="40"/>
      <c r="F404" s="53"/>
    </row>
    <row r="405" spans="2:6" ht="15.75" customHeight="1">
      <c r="B405" s="40"/>
      <c r="F405" s="53"/>
    </row>
    <row r="406" spans="2:6" ht="15.75" customHeight="1">
      <c r="B406" s="40"/>
      <c r="F406" s="53"/>
    </row>
    <row r="407" spans="2:6" ht="15.75" customHeight="1">
      <c r="B407" s="40"/>
      <c r="F407" s="53"/>
    </row>
    <row r="408" spans="2:6" ht="15.75" customHeight="1">
      <c r="B408" s="40"/>
      <c r="F408" s="53"/>
    </row>
    <row r="409" spans="2:6" ht="15.75" customHeight="1">
      <c r="B409" s="40"/>
      <c r="F409" s="53"/>
    </row>
    <row r="410" spans="2:6" ht="15.75" customHeight="1">
      <c r="B410" s="40"/>
      <c r="F410" s="53"/>
    </row>
    <row r="411" spans="2:6" ht="15.75" customHeight="1">
      <c r="B411" s="40"/>
      <c r="F411" s="53"/>
    </row>
    <row r="412" spans="2:6" ht="15.75" customHeight="1">
      <c r="B412" s="40"/>
      <c r="F412" s="53"/>
    </row>
    <row r="413" spans="2:6" ht="15.75" customHeight="1">
      <c r="B413" s="40"/>
      <c r="F413" s="53"/>
    </row>
    <row r="414" spans="2:6" ht="15.75" customHeight="1">
      <c r="B414" s="40"/>
      <c r="F414" s="53"/>
    </row>
    <row r="415" spans="2:6" ht="15.75" customHeight="1">
      <c r="B415" s="40"/>
      <c r="F415" s="53"/>
    </row>
    <row r="416" spans="2:6" ht="15.75" customHeight="1">
      <c r="B416" s="40"/>
      <c r="F416" s="53"/>
    </row>
    <row r="417" spans="2:6" ht="15.75" customHeight="1">
      <c r="B417" s="40"/>
      <c r="F417" s="53"/>
    </row>
    <row r="418" spans="2:6" ht="15.75" customHeight="1">
      <c r="B418" s="40"/>
      <c r="F418" s="53"/>
    </row>
    <row r="419" spans="2:6" ht="15.75" customHeight="1">
      <c r="B419" s="40"/>
      <c r="F419" s="53"/>
    </row>
    <row r="420" spans="2:6" ht="15.75" customHeight="1">
      <c r="B420" s="40"/>
      <c r="F420" s="53"/>
    </row>
    <row r="421" spans="2:6" ht="15.75" customHeight="1">
      <c r="B421" s="40"/>
      <c r="F421" s="53"/>
    </row>
    <row r="422" spans="2:6" ht="15.75" customHeight="1">
      <c r="B422" s="40"/>
      <c r="F422" s="53"/>
    </row>
    <row r="423" spans="2:6" ht="15.75" customHeight="1">
      <c r="B423" s="40"/>
      <c r="F423" s="53"/>
    </row>
    <row r="424" spans="2:6" ht="15.75" customHeight="1">
      <c r="B424" s="40"/>
      <c r="F424" s="53"/>
    </row>
    <row r="425" spans="2:6" ht="15.75" customHeight="1">
      <c r="B425" s="40"/>
      <c r="F425" s="53"/>
    </row>
    <row r="426" spans="2:6" ht="15.75" customHeight="1">
      <c r="B426" s="40"/>
      <c r="F426" s="53"/>
    </row>
    <row r="427" spans="2:6" ht="15.75" customHeight="1">
      <c r="B427" s="40"/>
      <c r="F427" s="53"/>
    </row>
    <row r="428" spans="2:6" ht="15.75" customHeight="1">
      <c r="B428" s="40"/>
      <c r="F428" s="53"/>
    </row>
    <row r="429" spans="2:6" ht="15.75" customHeight="1">
      <c r="B429" s="40"/>
      <c r="F429" s="53"/>
    </row>
    <row r="430" spans="2:6" ht="15.75" customHeight="1">
      <c r="B430" s="40"/>
      <c r="F430" s="53"/>
    </row>
    <row r="431" spans="2:6" ht="15.75" customHeight="1">
      <c r="B431" s="40"/>
      <c r="F431" s="53"/>
    </row>
    <row r="432" spans="2:6" ht="15.75" customHeight="1">
      <c r="B432" s="40"/>
      <c r="F432" s="53"/>
    </row>
    <row r="433" spans="2:6" ht="15.75" customHeight="1">
      <c r="B433" s="40"/>
      <c r="F433" s="53"/>
    </row>
    <row r="434" spans="2:6" ht="15.75" customHeight="1">
      <c r="B434" s="40"/>
      <c r="F434" s="53"/>
    </row>
    <row r="435" spans="2:6" ht="15.75" customHeight="1">
      <c r="B435" s="40"/>
      <c r="F435" s="53"/>
    </row>
    <row r="436" spans="2:6" ht="15.75" customHeight="1">
      <c r="B436" s="40"/>
      <c r="F436" s="53"/>
    </row>
    <row r="437" spans="2:6" ht="15.75" customHeight="1">
      <c r="B437" s="40"/>
      <c r="F437" s="53"/>
    </row>
    <row r="438" spans="2:6" ht="15.75" customHeight="1">
      <c r="B438" s="40"/>
      <c r="F438" s="53"/>
    </row>
    <row r="439" spans="2:6" ht="15.75" customHeight="1">
      <c r="B439" s="40"/>
      <c r="F439" s="53"/>
    </row>
    <row r="440" spans="2:6" ht="15.75" customHeight="1">
      <c r="B440" s="40"/>
      <c r="F440" s="53"/>
    </row>
    <row r="441" spans="2:6" ht="15.75" customHeight="1">
      <c r="B441" s="40"/>
      <c r="F441" s="53"/>
    </row>
    <row r="442" spans="2:6" ht="15.75" customHeight="1">
      <c r="B442" s="40"/>
      <c r="F442" s="53"/>
    </row>
    <row r="443" spans="2:6" ht="15.75" customHeight="1">
      <c r="B443" s="40"/>
      <c r="F443" s="53"/>
    </row>
    <row r="444" spans="2:6" ht="15.75" customHeight="1">
      <c r="B444" s="40"/>
      <c r="F444" s="53"/>
    </row>
    <row r="445" spans="2:6" ht="15.75" customHeight="1">
      <c r="B445" s="40"/>
      <c r="F445" s="53"/>
    </row>
    <row r="446" spans="2:6" ht="15.75" customHeight="1">
      <c r="B446" s="40"/>
      <c r="F446" s="53"/>
    </row>
    <row r="447" spans="2:6" ht="15.75" customHeight="1">
      <c r="B447" s="40"/>
      <c r="F447" s="53"/>
    </row>
    <row r="448" spans="2:6" ht="15.75" customHeight="1">
      <c r="B448" s="40"/>
      <c r="F448" s="53"/>
    </row>
    <row r="449" spans="2:6" ht="15.75" customHeight="1">
      <c r="B449" s="40"/>
      <c r="F449" s="53"/>
    </row>
    <row r="450" spans="2:6" ht="15.75" customHeight="1">
      <c r="B450" s="40"/>
      <c r="F450" s="53"/>
    </row>
    <row r="451" spans="2:6" ht="15.75" customHeight="1">
      <c r="B451" s="40"/>
      <c r="F451" s="53"/>
    </row>
    <row r="452" spans="2:6" ht="15.75" customHeight="1">
      <c r="B452" s="40"/>
      <c r="F452" s="53"/>
    </row>
    <row r="453" spans="2:6" ht="15.75" customHeight="1">
      <c r="B453" s="40"/>
      <c r="F453" s="53"/>
    </row>
    <row r="454" spans="2:6" ht="15.75" customHeight="1">
      <c r="B454" s="40"/>
      <c r="F454" s="53"/>
    </row>
    <row r="455" spans="2:6" ht="15.75" customHeight="1">
      <c r="B455" s="40"/>
      <c r="F455" s="53"/>
    </row>
    <row r="456" spans="2:6" ht="15.75" customHeight="1">
      <c r="B456" s="40"/>
      <c r="F456" s="53"/>
    </row>
    <row r="457" spans="2:6" ht="15.75" customHeight="1">
      <c r="B457" s="40"/>
      <c r="F457" s="53"/>
    </row>
    <row r="458" spans="2:6" ht="15.75" customHeight="1">
      <c r="B458" s="40"/>
      <c r="F458" s="53"/>
    </row>
    <row r="459" spans="2:6" ht="15.75" customHeight="1">
      <c r="B459" s="40"/>
      <c r="F459" s="53"/>
    </row>
    <row r="460" spans="2:6" ht="15.75" customHeight="1">
      <c r="B460" s="40"/>
      <c r="F460" s="53"/>
    </row>
    <row r="461" spans="2:6" ht="15.75" customHeight="1">
      <c r="B461" s="40"/>
      <c r="F461" s="53"/>
    </row>
    <row r="462" spans="2:6" ht="15.75" customHeight="1">
      <c r="B462" s="40"/>
      <c r="F462" s="53"/>
    </row>
    <row r="463" spans="2:6" ht="15.75" customHeight="1">
      <c r="B463" s="40"/>
      <c r="F463" s="53"/>
    </row>
    <row r="464" spans="2:6" ht="15.75" customHeight="1">
      <c r="B464" s="40"/>
      <c r="F464" s="53"/>
    </row>
    <row r="465" spans="2:6" ht="15.75" customHeight="1">
      <c r="B465" s="40"/>
      <c r="F465" s="53"/>
    </row>
    <row r="466" spans="2:6" ht="15.75" customHeight="1">
      <c r="B466" s="40"/>
      <c r="F466" s="53"/>
    </row>
    <row r="467" spans="2:6" ht="15.75" customHeight="1">
      <c r="B467" s="40"/>
      <c r="F467" s="53"/>
    </row>
    <row r="468" spans="2:6" ht="15.75" customHeight="1">
      <c r="B468" s="40"/>
      <c r="F468" s="53"/>
    </row>
    <row r="469" spans="2:6" ht="15.75" customHeight="1">
      <c r="B469" s="40"/>
      <c r="F469" s="53"/>
    </row>
    <row r="470" spans="2:6" ht="15.75" customHeight="1">
      <c r="B470" s="40"/>
      <c r="F470" s="53"/>
    </row>
    <row r="471" spans="2:6" ht="15.75" customHeight="1">
      <c r="B471" s="40"/>
      <c r="F471" s="53"/>
    </row>
    <row r="472" spans="2:6" ht="15.75" customHeight="1">
      <c r="B472" s="40"/>
      <c r="F472" s="53"/>
    </row>
    <row r="473" spans="2:6" ht="15.75" customHeight="1">
      <c r="B473" s="40"/>
      <c r="F473" s="53"/>
    </row>
    <row r="474" spans="2:6" ht="15.75" customHeight="1">
      <c r="B474" s="40"/>
      <c r="F474" s="53"/>
    </row>
    <row r="475" spans="2:6" ht="15.75" customHeight="1">
      <c r="B475" s="40"/>
      <c r="F475" s="53"/>
    </row>
    <row r="476" spans="2:6" ht="15.75" customHeight="1">
      <c r="B476" s="40"/>
      <c r="F476" s="53"/>
    </row>
    <row r="477" spans="2:6" ht="15.75" customHeight="1">
      <c r="B477" s="40"/>
      <c r="F477" s="53"/>
    </row>
    <row r="478" spans="2:6" ht="15.75" customHeight="1">
      <c r="B478" s="40"/>
      <c r="F478" s="53"/>
    </row>
    <row r="479" spans="2:6" ht="15.75" customHeight="1">
      <c r="B479" s="40"/>
      <c r="F479" s="53"/>
    </row>
    <row r="480" spans="2:6" ht="15.75" customHeight="1">
      <c r="B480" s="40"/>
      <c r="F480" s="53"/>
    </row>
    <row r="481" spans="2:6" ht="15.75" customHeight="1">
      <c r="B481" s="40"/>
      <c r="F481" s="53"/>
    </row>
    <row r="482" spans="2:6" ht="15.75" customHeight="1">
      <c r="B482" s="40"/>
      <c r="F482" s="53"/>
    </row>
    <row r="483" spans="2:6" ht="15.75" customHeight="1">
      <c r="B483" s="40"/>
      <c r="F483" s="53"/>
    </row>
    <row r="484" spans="2:6" ht="15.75" customHeight="1">
      <c r="B484" s="40"/>
      <c r="F484" s="53"/>
    </row>
    <row r="485" spans="2:6" ht="15.75" customHeight="1">
      <c r="B485" s="40"/>
      <c r="F485" s="53"/>
    </row>
    <row r="486" spans="2:6" ht="15.75" customHeight="1">
      <c r="B486" s="40"/>
      <c r="F486" s="53"/>
    </row>
    <row r="487" spans="2:6" ht="15.75" customHeight="1">
      <c r="B487" s="40"/>
      <c r="F487" s="53"/>
    </row>
    <row r="488" spans="2:6" ht="15.75" customHeight="1">
      <c r="B488" s="40"/>
      <c r="F488" s="53"/>
    </row>
    <row r="489" spans="2:6" ht="15.75" customHeight="1">
      <c r="B489" s="40"/>
      <c r="F489" s="53"/>
    </row>
    <row r="490" spans="2:6" ht="15.75" customHeight="1">
      <c r="B490" s="40"/>
      <c r="F490" s="53"/>
    </row>
    <row r="491" spans="2:6" ht="15.75" customHeight="1">
      <c r="B491" s="40"/>
      <c r="F491" s="53"/>
    </row>
    <row r="492" spans="2:6" ht="15.75" customHeight="1">
      <c r="B492" s="40"/>
      <c r="F492" s="53"/>
    </row>
    <row r="493" spans="2:6" ht="15.75" customHeight="1">
      <c r="B493" s="40"/>
      <c r="F493" s="53"/>
    </row>
    <row r="494" spans="2:6" ht="15.75" customHeight="1">
      <c r="B494" s="40"/>
      <c r="F494" s="53"/>
    </row>
    <row r="495" spans="2:6" ht="15.75" customHeight="1">
      <c r="B495" s="40"/>
      <c r="F495" s="53"/>
    </row>
    <row r="496" spans="2:6" ht="15.75" customHeight="1">
      <c r="B496" s="40"/>
      <c r="F496" s="53"/>
    </row>
    <row r="497" spans="2:6" ht="15.75" customHeight="1">
      <c r="B497" s="40"/>
      <c r="F497" s="53"/>
    </row>
    <row r="498" spans="2:6" ht="15.75" customHeight="1">
      <c r="B498" s="40"/>
      <c r="F498" s="53"/>
    </row>
    <row r="499" spans="2:6" ht="15.75" customHeight="1">
      <c r="B499" s="40"/>
      <c r="F499" s="53"/>
    </row>
    <row r="500" spans="2:6" ht="15.75" customHeight="1">
      <c r="B500" s="40"/>
      <c r="F500" s="53"/>
    </row>
    <row r="501" spans="2:6" ht="15.75" customHeight="1">
      <c r="B501" s="40"/>
      <c r="F501" s="53"/>
    </row>
    <row r="502" spans="2:6" ht="15.75" customHeight="1">
      <c r="B502" s="40"/>
      <c r="F502" s="53"/>
    </row>
    <row r="503" spans="2:6" ht="15.75" customHeight="1">
      <c r="B503" s="40"/>
      <c r="F503" s="53"/>
    </row>
    <row r="504" spans="2:6" ht="15.75" customHeight="1">
      <c r="B504" s="40"/>
      <c r="F504" s="53"/>
    </row>
    <row r="505" spans="2:6" ht="15.75" customHeight="1">
      <c r="B505" s="40"/>
      <c r="F505" s="53"/>
    </row>
    <row r="506" spans="2:6" ht="15.75" customHeight="1">
      <c r="B506" s="40"/>
      <c r="F506" s="53"/>
    </row>
    <row r="507" spans="2:6" ht="15.75" customHeight="1">
      <c r="B507" s="40"/>
      <c r="F507" s="53"/>
    </row>
    <row r="508" spans="2:6" ht="15.75" customHeight="1">
      <c r="B508" s="40"/>
      <c r="F508" s="53"/>
    </row>
    <row r="509" spans="2:6" ht="15.75" customHeight="1">
      <c r="B509" s="40"/>
      <c r="F509" s="53"/>
    </row>
    <row r="510" spans="2:6" ht="15.75" customHeight="1">
      <c r="B510" s="40"/>
      <c r="F510" s="53"/>
    </row>
    <row r="511" spans="2:6" ht="15.75" customHeight="1">
      <c r="B511" s="40"/>
      <c r="F511" s="53"/>
    </row>
    <row r="512" spans="2:6" ht="15.75" customHeight="1">
      <c r="B512" s="40"/>
      <c r="F512" s="53"/>
    </row>
    <row r="513" spans="2:6" ht="15.75" customHeight="1">
      <c r="B513" s="40"/>
      <c r="F513" s="53"/>
    </row>
    <row r="514" spans="2:6" ht="15.75" customHeight="1">
      <c r="B514" s="40"/>
      <c r="F514" s="53"/>
    </row>
    <row r="515" spans="2:6" ht="15.75" customHeight="1">
      <c r="B515" s="40"/>
      <c r="F515" s="53"/>
    </row>
    <row r="516" spans="2:6" ht="15.75" customHeight="1">
      <c r="B516" s="40"/>
      <c r="F516" s="53"/>
    </row>
    <row r="517" spans="2:6" ht="15.75" customHeight="1">
      <c r="B517" s="40"/>
      <c r="F517" s="53"/>
    </row>
    <row r="518" spans="2:6" ht="15.75" customHeight="1">
      <c r="B518" s="40"/>
      <c r="F518" s="53"/>
    </row>
    <row r="519" spans="2:6" ht="15.75" customHeight="1">
      <c r="B519" s="40"/>
      <c r="F519" s="53"/>
    </row>
    <row r="520" spans="2:6" ht="15.75" customHeight="1">
      <c r="B520" s="40"/>
      <c r="F520" s="53"/>
    </row>
    <row r="521" spans="2:6" ht="15.75" customHeight="1">
      <c r="B521" s="40"/>
      <c r="F521" s="53"/>
    </row>
    <row r="522" spans="2:6" ht="15.75" customHeight="1">
      <c r="B522" s="40"/>
      <c r="F522" s="53"/>
    </row>
    <row r="523" spans="2:6" ht="15.75" customHeight="1">
      <c r="B523" s="40"/>
      <c r="F523" s="53"/>
    </row>
    <row r="524" spans="2:6" ht="15.75" customHeight="1">
      <c r="B524" s="40"/>
      <c r="F524" s="53"/>
    </row>
    <row r="525" spans="2:6" ht="15.75" customHeight="1">
      <c r="B525" s="40"/>
      <c r="F525" s="53"/>
    </row>
    <row r="526" spans="2:6" ht="15.75" customHeight="1">
      <c r="B526" s="40"/>
      <c r="F526" s="53"/>
    </row>
    <row r="527" spans="2:6" ht="15.75" customHeight="1">
      <c r="B527" s="40"/>
      <c r="F527" s="53"/>
    </row>
    <row r="528" spans="2:6" ht="15.75" customHeight="1">
      <c r="B528" s="40"/>
      <c r="F528" s="53"/>
    </row>
    <row r="529" spans="2:6" ht="15.75" customHeight="1">
      <c r="B529" s="40"/>
      <c r="F529" s="53"/>
    </row>
    <row r="530" spans="2:6" ht="15.75" customHeight="1">
      <c r="B530" s="40"/>
      <c r="F530" s="53"/>
    </row>
    <row r="531" spans="2:6" ht="15.75" customHeight="1">
      <c r="B531" s="40"/>
      <c r="F531" s="53"/>
    </row>
    <row r="532" spans="2:6" ht="15.75" customHeight="1">
      <c r="B532" s="40"/>
      <c r="F532" s="53"/>
    </row>
    <row r="533" spans="2:6" ht="15.75" customHeight="1">
      <c r="B533" s="40"/>
      <c r="F533" s="53"/>
    </row>
    <row r="534" spans="2:6" ht="15.75" customHeight="1">
      <c r="B534" s="40"/>
      <c r="F534" s="53"/>
    </row>
    <row r="535" spans="2:6" ht="15.75" customHeight="1">
      <c r="B535" s="40"/>
      <c r="F535" s="53"/>
    </row>
    <row r="536" spans="2:6" ht="15.75" customHeight="1">
      <c r="B536" s="40"/>
      <c r="F536" s="53"/>
    </row>
    <row r="537" spans="2:6" ht="15.75" customHeight="1">
      <c r="B537" s="40"/>
      <c r="F537" s="53"/>
    </row>
    <row r="538" spans="2:6" ht="15.75" customHeight="1">
      <c r="B538" s="40"/>
      <c r="F538" s="53"/>
    </row>
    <row r="539" spans="2:6" ht="15.75" customHeight="1">
      <c r="B539" s="40"/>
      <c r="F539" s="53"/>
    </row>
    <row r="540" spans="2:6" ht="15.75" customHeight="1">
      <c r="B540" s="40"/>
      <c r="F540" s="53"/>
    </row>
    <row r="541" spans="2:6" ht="15.75" customHeight="1">
      <c r="B541" s="40"/>
      <c r="F541" s="53"/>
    </row>
    <row r="542" spans="2:6" ht="15.75" customHeight="1">
      <c r="B542" s="40"/>
      <c r="F542" s="53"/>
    </row>
    <row r="543" spans="2:6" ht="15.75" customHeight="1">
      <c r="B543" s="40"/>
      <c r="F543" s="53"/>
    </row>
    <row r="544" spans="2:6" ht="15.75" customHeight="1">
      <c r="B544" s="40"/>
      <c r="F544" s="53"/>
    </row>
    <row r="545" spans="2:6" ht="15.75" customHeight="1">
      <c r="B545" s="40"/>
      <c r="F545" s="53"/>
    </row>
    <row r="546" spans="2:6" ht="15.75" customHeight="1">
      <c r="B546" s="40"/>
      <c r="F546" s="53"/>
    </row>
    <row r="547" spans="2:6" ht="15.75" customHeight="1">
      <c r="B547" s="40"/>
      <c r="F547" s="53"/>
    </row>
    <row r="548" spans="2:6" ht="15.75" customHeight="1">
      <c r="B548" s="40"/>
      <c r="F548" s="53"/>
    </row>
    <row r="549" spans="2:6" ht="15.75" customHeight="1">
      <c r="B549" s="40"/>
      <c r="F549" s="53"/>
    </row>
    <row r="550" spans="2:6" ht="15.75" customHeight="1">
      <c r="B550" s="40"/>
      <c r="F550" s="53"/>
    </row>
    <row r="551" spans="2:6" ht="15.75" customHeight="1">
      <c r="B551" s="40"/>
      <c r="F551" s="53"/>
    </row>
    <row r="552" spans="2:6" ht="15.75" customHeight="1">
      <c r="B552" s="40"/>
      <c r="F552" s="53"/>
    </row>
    <row r="553" spans="2:6" ht="15.75" customHeight="1">
      <c r="B553" s="40"/>
      <c r="F553" s="53"/>
    </row>
    <row r="554" spans="2:6" ht="15.75" customHeight="1">
      <c r="B554" s="40"/>
      <c r="F554" s="53"/>
    </row>
    <row r="555" spans="2:6" ht="15.75" customHeight="1">
      <c r="B555" s="40"/>
      <c r="F555" s="53"/>
    </row>
    <row r="556" spans="2:6" ht="15.75" customHeight="1">
      <c r="B556" s="40"/>
      <c r="F556" s="53"/>
    </row>
    <row r="557" spans="2:6" ht="15.75" customHeight="1">
      <c r="B557" s="40"/>
      <c r="F557" s="53"/>
    </row>
    <row r="558" spans="2:6" ht="15.75" customHeight="1">
      <c r="B558" s="40"/>
      <c r="F558" s="53"/>
    </row>
    <row r="559" spans="2:6" ht="15.75" customHeight="1">
      <c r="B559" s="40"/>
      <c r="F559" s="53"/>
    </row>
    <row r="560" spans="2:6" ht="15.75" customHeight="1">
      <c r="B560" s="40"/>
      <c r="F560" s="53"/>
    </row>
    <row r="561" spans="2:6" ht="15.75" customHeight="1">
      <c r="B561" s="40"/>
      <c r="F561" s="53"/>
    </row>
    <row r="562" spans="2:6" ht="15.75" customHeight="1">
      <c r="B562" s="40"/>
      <c r="F562" s="53"/>
    </row>
    <row r="563" spans="2:6" ht="15.75" customHeight="1">
      <c r="B563" s="40"/>
      <c r="F563" s="53"/>
    </row>
    <row r="564" spans="2:6" ht="15.75" customHeight="1">
      <c r="B564" s="40"/>
      <c r="F564" s="53"/>
    </row>
    <row r="565" spans="2:6" ht="15.75" customHeight="1">
      <c r="B565" s="40"/>
      <c r="F565" s="53"/>
    </row>
    <row r="566" spans="2:6" ht="15.75" customHeight="1">
      <c r="B566" s="40"/>
      <c r="F566" s="53"/>
    </row>
    <row r="567" spans="2:6" ht="15.75" customHeight="1">
      <c r="B567" s="40"/>
      <c r="F567" s="53"/>
    </row>
    <row r="568" spans="2:6" ht="15.75" customHeight="1">
      <c r="B568" s="40"/>
      <c r="F568" s="53"/>
    </row>
    <row r="569" spans="2:6" ht="15.75" customHeight="1">
      <c r="B569" s="40"/>
      <c r="F569" s="53"/>
    </row>
    <row r="570" spans="2:6" ht="15.75" customHeight="1">
      <c r="B570" s="40"/>
      <c r="F570" s="53"/>
    </row>
    <row r="571" spans="2:6" ht="15.75" customHeight="1">
      <c r="B571" s="40"/>
      <c r="F571" s="53"/>
    </row>
    <row r="572" spans="2:6" ht="15.75" customHeight="1">
      <c r="B572" s="40"/>
      <c r="F572" s="53"/>
    </row>
    <row r="573" spans="2:6" ht="15.75" customHeight="1">
      <c r="B573" s="40"/>
      <c r="F573" s="53"/>
    </row>
    <row r="574" spans="2:6" ht="15.75" customHeight="1">
      <c r="B574" s="40"/>
      <c r="F574" s="53"/>
    </row>
    <row r="575" spans="2:6" ht="15.75" customHeight="1">
      <c r="B575" s="40"/>
      <c r="F575" s="53"/>
    </row>
    <row r="576" spans="2:6" ht="15.75" customHeight="1">
      <c r="B576" s="40"/>
      <c r="F576" s="53"/>
    </row>
    <row r="577" spans="2:6" ht="15.75" customHeight="1">
      <c r="B577" s="40"/>
      <c r="F577" s="53"/>
    </row>
    <row r="578" spans="2:6" ht="15.75" customHeight="1">
      <c r="B578" s="40"/>
      <c r="F578" s="53"/>
    </row>
    <row r="579" spans="2:6" ht="15.75" customHeight="1">
      <c r="B579" s="40"/>
      <c r="F579" s="53"/>
    </row>
    <row r="580" spans="2:6" ht="15.75" customHeight="1">
      <c r="B580" s="40"/>
      <c r="F580" s="53"/>
    </row>
    <row r="581" spans="2:6" ht="15.75" customHeight="1">
      <c r="B581" s="40"/>
      <c r="F581" s="53"/>
    </row>
    <row r="582" spans="2:6" ht="15.75" customHeight="1">
      <c r="B582" s="40"/>
      <c r="F582" s="53"/>
    </row>
    <row r="583" spans="2:6" ht="15.75" customHeight="1">
      <c r="B583" s="40"/>
      <c r="F583" s="53"/>
    </row>
    <row r="584" spans="2:6" ht="15.75" customHeight="1">
      <c r="B584" s="40"/>
      <c r="F584" s="53"/>
    </row>
    <row r="585" spans="2:6" ht="15.75" customHeight="1">
      <c r="B585" s="40"/>
      <c r="F585" s="53"/>
    </row>
    <row r="586" spans="2:6" ht="15.75" customHeight="1">
      <c r="B586" s="40"/>
      <c r="F586" s="53"/>
    </row>
    <row r="587" spans="2:6" ht="15.75" customHeight="1">
      <c r="B587" s="40"/>
      <c r="F587" s="53"/>
    </row>
    <row r="588" spans="2:6" ht="15.75" customHeight="1">
      <c r="B588" s="40"/>
      <c r="F588" s="53"/>
    </row>
    <row r="589" spans="2:6" ht="15.75" customHeight="1">
      <c r="B589" s="40"/>
      <c r="F589" s="53"/>
    </row>
    <row r="590" spans="2:6" ht="15.75" customHeight="1">
      <c r="B590" s="40"/>
      <c r="F590" s="53"/>
    </row>
    <row r="591" spans="2:6" ht="15.75" customHeight="1">
      <c r="B591" s="40"/>
      <c r="F591" s="53"/>
    </row>
    <row r="592" spans="2:6" ht="15.75" customHeight="1">
      <c r="B592" s="40"/>
      <c r="F592" s="53"/>
    </row>
    <row r="593" spans="2:6" ht="15.75" customHeight="1">
      <c r="B593" s="40"/>
      <c r="F593" s="53"/>
    </row>
    <row r="594" spans="2:6" ht="15.75" customHeight="1">
      <c r="B594" s="40"/>
      <c r="F594" s="53"/>
    </row>
    <row r="595" spans="2:6" ht="15.75" customHeight="1">
      <c r="B595" s="40"/>
      <c r="F595" s="53"/>
    </row>
    <row r="596" spans="2:6" ht="15.75" customHeight="1">
      <c r="B596" s="40"/>
      <c r="F596" s="53"/>
    </row>
    <row r="597" spans="2:6" ht="15.75" customHeight="1">
      <c r="B597" s="40"/>
      <c r="F597" s="53"/>
    </row>
    <row r="598" spans="2:6" ht="15.75" customHeight="1">
      <c r="B598" s="40"/>
      <c r="F598" s="53"/>
    </row>
    <row r="599" spans="2:6" ht="15.75" customHeight="1">
      <c r="B599" s="40"/>
      <c r="F599" s="53"/>
    </row>
    <row r="600" spans="2:6" ht="15.75" customHeight="1">
      <c r="B600" s="40"/>
      <c r="F600" s="53"/>
    </row>
    <row r="601" spans="2:6" ht="15.75" customHeight="1">
      <c r="B601" s="40"/>
      <c r="F601" s="53"/>
    </row>
    <row r="602" spans="2:6" ht="15.75" customHeight="1">
      <c r="B602" s="40"/>
      <c r="F602" s="53"/>
    </row>
    <row r="603" spans="2:6" ht="15.75" customHeight="1">
      <c r="B603" s="40"/>
      <c r="F603" s="53"/>
    </row>
    <row r="604" spans="2:6" ht="15.75" customHeight="1">
      <c r="B604" s="40"/>
      <c r="F604" s="53"/>
    </row>
    <row r="605" spans="2:6" ht="15.75" customHeight="1">
      <c r="B605" s="40"/>
      <c r="F605" s="53"/>
    </row>
    <row r="606" spans="2:6" ht="15.75" customHeight="1">
      <c r="B606" s="40"/>
      <c r="F606" s="53"/>
    </row>
    <row r="607" spans="2:6" ht="15.75" customHeight="1">
      <c r="B607" s="40"/>
      <c r="F607" s="53"/>
    </row>
    <row r="608" spans="2:6" ht="15.75" customHeight="1">
      <c r="B608" s="40"/>
      <c r="F608" s="53"/>
    </row>
    <row r="609" spans="2:6" ht="15.75" customHeight="1">
      <c r="B609" s="40"/>
      <c r="F609" s="53"/>
    </row>
    <row r="610" spans="2:6" ht="15.75" customHeight="1">
      <c r="B610" s="40"/>
      <c r="F610" s="53"/>
    </row>
    <row r="611" spans="2:6" ht="15.75" customHeight="1">
      <c r="B611" s="40"/>
      <c r="F611" s="53"/>
    </row>
    <row r="612" spans="2:6" ht="15.75" customHeight="1">
      <c r="B612" s="40"/>
      <c r="F612" s="53"/>
    </row>
    <row r="613" spans="2:6" ht="15.75" customHeight="1">
      <c r="B613" s="40"/>
      <c r="F613" s="53"/>
    </row>
    <row r="614" spans="2:6" ht="15.75" customHeight="1">
      <c r="B614" s="40"/>
      <c r="F614" s="53"/>
    </row>
    <row r="615" spans="2:6" ht="15.75" customHeight="1">
      <c r="B615" s="40"/>
      <c r="F615" s="53"/>
    </row>
    <row r="616" spans="2:6" ht="15.75" customHeight="1">
      <c r="B616" s="40"/>
      <c r="F616" s="53"/>
    </row>
    <row r="617" spans="2:6" ht="15.75" customHeight="1">
      <c r="B617" s="40"/>
      <c r="F617" s="53"/>
    </row>
    <row r="618" spans="2:6" ht="15.75" customHeight="1">
      <c r="B618" s="40"/>
      <c r="F618" s="53"/>
    </row>
    <row r="619" spans="2:6" ht="15.75" customHeight="1">
      <c r="B619" s="40"/>
      <c r="F619" s="53"/>
    </row>
    <row r="620" spans="2:6" ht="15.75" customHeight="1">
      <c r="B620" s="40"/>
      <c r="F620" s="53"/>
    </row>
    <row r="621" spans="2:6" ht="15.75" customHeight="1">
      <c r="B621" s="40"/>
      <c r="F621" s="53"/>
    </row>
    <row r="622" spans="2:6" ht="15.75" customHeight="1">
      <c r="B622" s="40"/>
      <c r="F622" s="53"/>
    </row>
    <row r="623" spans="2:6" ht="15.75" customHeight="1">
      <c r="B623" s="40"/>
      <c r="F623" s="53"/>
    </row>
    <row r="624" spans="2:6" ht="15.75" customHeight="1">
      <c r="B624" s="40"/>
      <c r="F624" s="53"/>
    </row>
    <row r="625" spans="2:6" ht="15.75" customHeight="1">
      <c r="B625" s="40"/>
      <c r="F625" s="53"/>
    </row>
    <row r="626" spans="2:6" ht="15.75" customHeight="1">
      <c r="B626" s="40"/>
      <c r="F626" s="53"/>
    </row>
    <row r="627" spans="2:6" ht="15.75" customHeight="1">
      <c r="B627" s="40"/>
      <c r="F627" s="53"/>
    </row>
    <row r="628" spans="2:6" ht="15.75" customHeight="1">
      <c r="B628" s="40"/>
      <c r="F628" s="53"/>
    </row>
    <row r="629" spans="2:6" ht="15.75" customHeight="1">
      <c r="B629" s="40"/>
      <c r="F629" s="53"/>
    </row>
    <row r="630" spans="2:6" ht="15.75" customHeight="1">
      <c r="B630" s="40"/>
      <c r="F630" s="53"/>
    </row>
    <row r="631" spans="2:6" ht="15.75" customHeight="1">
      <c r="B631" s="40"/>
      <c r="F631" s="53"/>
    </row>
    <row r="632" spans="2:6" ht="15.75" customHeight="1">
      <c r="B632" s="40"/>
      <c r="F632" s="53"/>
    </row>
    <row r="633" spans="2:6" ht="15.75" customHeight="1">
      <c r="B633" s="40"/>
      <c r="F633" s="53"/>
    </row>
    <row r="634" spans="2:6" ht="15.75" customHeight="1">
      <c r="B634" s="40"/>
      <c r="F634" s="53"/>
    </row>
    <row r="635" spans="2:6" ht="15.75" customHeight="1">
      <c r="B635" s="40"/>
      <c r="F635" s="53"/>
    </row>
    <row r="636" spans="2:6" ht="15.75" customHeight="1">
      <c r="B636" s="40"/>
      <c r="F636" s="53"/>
    </row>
    <row r="637" spans="2:6" ht="15.75" customHeight="1">
      <c r="B637" s="40"/>
      <c r="F637" s="53"/>
    </row>
    <row r="638" spans="2:6" ht="15.75" customHeight="1">
      <c r="B638" s="40"/>
      <c r="F638" s="53"/>
    </row>
    <row r="639" spans="2:6" ht="15.75" customHeight="1">
      <c r="B639" s="40"/>
      <c r="F639" s="53"/>
    </row>
    <row r="640" spans="2:6" ht="15.75" customHeight="1">
      <c r="B640" s="40"/>
      <c r="F640" s="53"/>
    </row>
    <row r="641" spans="2:6" ht="15.75" customHeight="1">
      <c r="B641" s="40"/>
      <c r="F641" s="53"/>
    </row>
    <row r="642" spans="2:6" ht="15.75" customHeight="1">
      <c r="B642" s="40"/>
      <c r="F642" s="53"/>
    </row>
    <row r="643" spans="2:6" ht="15.75" customHeight="1">
      <c r="B643" s="40"/>
      <c r="F643" s="53"/>
    </row>
    <row r="644" spans="2:6" ht="15.75" customHeight="1">
      <c r="B644" s="40"/>
      <c r="F644" s="53"/>
    </row>
    <row r="645" spans="2:6" ht="15.75" customHeight="1">
      <c r="B645" s="40"/>
      <c r="F645" s="53"/>
    </row>
    <row r="646" spans="2:6" ht="15.75" customHeight="1">
      <c r="B646" s="40"/>
      <c r="F646" s="53"/>
    </row>
    <row r="647" spans="2:6" ht="15.75" customHeight="1">
      <c r="B647" s="40"/>
      <c r="F647" s="53"/>
    </row>
    <row r="648" spans="2:6" ht="15.75" customHeight="1">
      <c r="B648" s="40"/>
      <c r="F648" s="53"/>
    </row>
    <row r="649" spans="2:6" ht="15.75" customHeight="1">
      <c r="B649" s="40"/>
      <c r="F649" s="53"/>
    </row>
    <row r="650" spans="2:6" ht="15.75" customHeight="1">
      <c r="B650" s="40"/>
      <c r="F650" s="53"/>
    </row>
    <row r="651" spans="2:6" ht="15.75" customHeight="1">
      <c r="B651" s="40"/>
      <c r="F651" s="53"/>
    </row>
    <row r="652" spans="2:6" ht="15.75" customHeight="1">
      <c r="B652" s="40"/>
      <c r="F652" s="53"/>
    </row>
    <row r="653" spans="2:6" ht="15.75" customHeight="1">
      <c r="B653" s="40"/>
      <c r="F653" s="53"/>
    </row>
    <row r="654" spans="2:6" ht="15.75" customHeight="1">
      <c r="B654" s="40"/>
      <c r="F654" s="53"/>
    </row>
    <row r="655" spans="2:6" ht="15.75" customHeight="1">
      <c r="B655" s="40"/>
      <c r="F655" s="53"/>
    </row>
    <row r="656" spans="2:6" ht="15.75" customHeight="1">
      <c r="B656" s="40"/>
      <c r="F656" s="53"/>
    </row>
    <row r="657" spans="2:6" ht="15.75" customHeight="1">
      <c r="B657" s="40"/>
      <c r="F657" s="53"/>
    </row>
    <row r="658" spans="2:6" ht="15.75" customHeight="1">
      <c r="B658" s="40"/>
      <c r="F658" s="53"/>
    </row>
    <row r="659" spans="2:6" ht="15.75" customHeight="1">
      <c r="B659" s="40"/>
      <c r="F659" s="53"/>
    </row>
    <row r="660" spans="2:6" ht="15.75" customHeight="1">
      <c r="B660" s="40"/>
      <c r="F660" s="53"/>
    </row>
    <row r="661" spans="2:6" ht="15.75" customHeight="1">
      <c r="B661" s="40"/>
      <c r="F661" s="53"/>
    </row>
    <row r="662" spans="2:6" ht="15.75" customHeight="1">
      <c r="B662" s="40"/>
      <c r="F662" s="53"/>
    </row>
    <row r="663" spans="2:6" ht="15.75" customHeight="1">
      <c r="B663" s="40"/>
      <c r="F663" s="53"/>
    </row>
    <row r="664" spans="2:6" ht="15.75" customHeight="1">
      <c r="B664" s="40"/>
      <c r="F664" s="53"/>
    </row>
    <row r="665" spans="2:6" ht="15.75" customHeight="1">
      <c r="B665" s="40"/>
      <c r="F665" s="53"/>
    </row>
    <row r="666" spans="2:6" ht="15.75" customHeight="1">
      <c r="B666" s="40"/>
      <c r="F666" s="53"/>
    </row>
    <row r="667" spans="2:6" ht="15.75" customHeight="1">
      <c r="B667" s="40"/>
      <c r="F667" s="53"/>
    </row>
    <row r="668" spans="2:6" ht="15.75" customHeight="1">
      <c r="B668" s="40"/>
      <c r="F668" s="53"/>
    </row>
    <row r="669" spans="2:6" ht="15.75" customHeight="1">
      <c r="B669" s="40"/>
      <c r="F669" s="53"/>
    </row>
    <row r="670" spans="2:6" ht="15.75" customHeight="1">
      <c r="B670" s="40"/>
      <c r="F670" s="53"/>
    </row>
    <row r="671" spans="2:6" ht="15.75" customHeight="1">
      <c r="B671" s="40"/>
      <c r="F671" s="53"/>
    </row>
    <row r="672" spans="2:6" ht="15.75" customHeight="1">
      <c r="B672" s="40"/>
      <c r="F672" s="53"/>
    </row>
    <row r="673" spans="2:6" ht="15.75" customHeight="1">
      <c r="B673" s="40"/>
      <c r="F673" s="53"/>
    </row>
    <row r="674" spans="2:6" ht="15.75" customHeight="1">
      <c r="B674" s="40"/>
      <c r="F674" s="53"/>
    </row>
    <row r="675" spans="2:6" ht="15.75" customHeight="1">
      <c r="B675" s="40"/>
      <c r="F675" s="53"/>
    </row>
    <row r="676" spans="2:6" ht="15.75" customHeight="1">
      <c r="B676" s="40"/>
      <c r="F676" s="53"/>
    </row>
    <row r="677" spans="2:6" ht="15.75" customHeight="1">
      <c r="B677" s="40"/>
      <c r="F677" s="53"/>
    </row>
    <row r="678" spans="2:6" ht="15.75" customHeight="1">
      <c r="B678" s="40"/>
      <c r="F678" s="53"/>
    </row>
    <row r="679" spans="2:6" ht="15.75" customHeight="1">
      <c r="B679" s="40"/>
      <c r="F679" s="53"/>
    </row>
    <row r="680" spans="2:6" ht="15.75" customHeight="1">
      <c r="B680" s="40"/>
      <c r="F680" s="53"/>
    </row>
    <row r="681" spans="2:6" ht="15.75" customHeight="1">
      <c r="B681" s="40"/>
      <c r="F681" s="53"/>
    </row>
    <row r="682" spans="2:6" ht="15.75" customHeight="1">
      <c r="B682" s="40"/>
      <c r="F682" s="53"/>
    </row>
    <row r="683" spans="2:6" ht="15.75" customHeight="1">
      <c r="B683" s="40"/>
      <c r="F683" s="53"/>
    </row>
    <row r="684" spans="2:6" ht="15.75" customHeight="1">
      <c r="B684" s="40"/>
      <c r="F684" s="53"/>
    </row>
    <row r="685" spans="2:6" ht="15.75" customHeight="1">
      <c r="B685" s="40"/>
      <c r="F685" s="53"/>
    </row>
    <row r="686" spans="2:6" ht="15.75" customHeight="1">
      <c r="B686" s="40"/>
      <c r="F686" s="53"/>
    </row>
    <row r="687" spans="2:6" ht="15.75" customHeight="1">
      <c r="B687" s="40"/>
      <c r="F687" s="53"/>
    </row>
    <row r="688" spans="2:6" ht="15.75" customHeight="1">
      <c r="B688" s="40"/>
      <c r="F688" s="53"/>
    </row>
    <row r="689" spans="2:6" ht="15.75" customHeight="1">
      <c r="B689" s="40"/>
      <c r="F689" s="53"/>
    </row>
    <row r="690" spans="2:6" ht="15.75" customHeight="1">
      <c r="B690" s="40"/>
      <c r="F690" s="53"/>
    </row>
    <row r="691" spans="2:6" ht="15.75" customHeight="1">
      <c r="B691" s="40"/>
      <c r="F691" s="53"/>
    </row>
    <row r="692" spans="2:6" ht="15.75" customHeight="1">
      <c r="B692" s="40"/>
      <c r="F692" s="53"/>
    </row>
    <row r="693" spans="2:6" ht="15.75" customHeight="1">
      <c r="B693" s="40"/>
      <c r="F693" s="53"/>
    </row>
    <row r="694" spans="2:6" ht="15.75" customHeight="1">
      <c r="B694" s="40"/>
      <c r="F694" s="53"/>
    </row>
    <row r="695" spans="2:6" ht="15.75" customHeight="1">
      <c r="B695" s="40"/>
      <c r="F695" s="53"/>
    </row>
    <row r="696" spans="2:6" ht="15.75" customHeight="1">
      <c r="B696" s="40"/>
      <c r="F696" s="53"/>
    </row>
    <row r="697" spans="2:6" ht="15.75" customHeight="1">
      <c r="B697" s="40"/>
      <c r="F697" s="53"/>
    </row>
    <row r="698" spans="2:6" ht="15.75" customHeight="1">
      <c r="B698" s="40"/>
      <c r="F698" s="53"/>
    </row>
    <row r="699" spans="2:6" ht="15.75" customHeight="1">
      <c r="B699" s="40"/>
      <c r="F699" s="53"/>
    </row>
    <row r="700" spans="2:6" ht="15.75" customHeight="1">
      <c r="B700" s="40"/>
      <c r="F700" s="53"/>
    </row>
    <row r="701" spans="2:6" ht="15.75" customHeight="1">
      <c r="B701" s="40"/>
      <c r="F701" s="53"/>
    </row>
    <row r="702" spans="2:6" ht="15.75" customHeight="1">
      <c r="B702" s="40"/>
      <c r="F702" s="53"/>
    </row>
    <row r="703" spans="2:6" ht="15.75" customHeight="1">
      <c r="B703" s="40"/>
      <c r="F703" s="53"/>
    </row>
    <row r="704" spans="2:6" ht="15.75" customHeight="1">
      <c r="B704" s="40"/>
      <c r="F704" s="53"/>
    </row>
    <row r="705" spans="2:6" ht="15.75" customHeight="1">
      <c r="B705" s="40"/>
      <c r="F705" s="53"/>
    </row>
    <row r="706" spans="2:6" ht="15.75" customHeight="1">
      <c r="B706" s="40"/>
      <c r="F706" s="53"/>
    </row>
    <row r="707" spans="2:6" ht="15.75" customHeight="1">
      <c r="B707" s="40"/>
      <c r="F707" s="53"/>
    </row>
    <row r="708" spans="2:6" ht="15.75" customHeight="1">
      <c r="B708" s="40"/>
      <c r="F708" s="53"/>
    </row>
    <row r="709" spans="2:6" ht="15.75" customHeight="1">
      <c r="B709" s="40"/>
      <c r="F709" s="53"/>
    </row>
    <row r="710" spans="2:6" ht="15.75" customHeight="1">
      <c r="B710" s="40"/>
      <c r="F710" s="53"/>
    </row>
    <row r="711" spans="2:6" ht="15.75" customHeight="1">
      <c r="B711" s="40"/>
      <c r="F711" s="53"/>
    </row>
    <row r="712" spans="2:6" ht="15.75" customHeight="1">
      <c r="B712" s="40"/>
      <c r="F712" s="53"/>
    </row>
    <row r="713" spans="2:6" ht="15.75" customHeight="1">
      <c r="B713" s="40"/>
      <c r="F713" s="53"/>
    </row>
    <row r="714" spans="2:6" ht="15.75" customHeight="1">
      <c r="B714" s="40"/>
      <c r="F714" s="53"/>
    </row>
    <row r="715" spans="2:6" ht="15.75" customHeight="1">
      <c r="B715" s="40"/>
      <c r="F715" s="53"/>
    </row>
    <row r="716" spans="2:6" ht="15.75" customHeight="1">
      <c r="B716" s="40"/>
      <c r="F716" s="53"/>
    </row>
    <row r="717" spans="2:6" ht="15.75" customHeight="1">
      <c r="B717" s="40"/>
      <c r="F717" s="53"/>
    </row>
    <row r="718" spans="2:6" ht="15.75" customHeight="1">
      <c r="B718" s="40"/>
      <c r="F718" s="53"/>
    </row>
    <row r="719" spans="2:6" ht="15.75" customHeight="1">
      <c r="B719" s="40"/>
      <c r="F719" s="53"/>
    </row>
    <row r="720" spans="2:6" ht="15.75" customHeight="1">
      <c r="B720" s="40"/>
      <c r="F720" s="53"/>
    </row>
    <row r="721" spans="2:6" ht="15.75" customHeight="1">
      <c r="B721" s="40"/>
      <c r="F721" s="53"/>
    </row>
    <row r="722" spans="2:6" ht="15.75" customHeight="1">
      <c r="B722" s="40"/>
      <c r="F722" s="53"/>
    </row>
    <row r="723" spans="2:6" ht="15.75" customHeight="1">
      <c r="B723" s="40"/>
      <c r="F723" s="53"/>
    </row>
    <row r="724" spans="2:6" ht="15.75" customHeight="1">
      <c r="B724" s="40"/>
      <c r="F724" s="53"/>
    </row>
    <row r="725" spans="2:6" ht="15.75" customHeight="1">
      <c r="B725" s="40"/>
      <c r="F725" s="53"/>
    </row>
    <row r="726" spans="2:6" ht="15.75" customHeight="1">
      <c r="B726" s="40"/>
      <c r="F726" s="53"/>
    </row>
    <row r="727" spans="2:6" ht="15.75" customHeight="1">
      <c r="B727" s="40"/>
      <c r="F727" s="53"/>
    </row>
    <row r="728" spans="2:6" ht="15.75" customHeight="1">
      <c r="B728" s="40"/>
      <c r="F728" s="53"/>
    </row>
    <row r="729" spans="2:6" ht="15.75" customHeight="1">
      <c r="B729" s="40"/>
      <c r="F729" s="53"/>
    </row>
    <row r="730" spans="2:6" ht="15.75" customHeight="1">
      <c r="B730" s="40"/>
      <c r="F730" s="53"/>
    </row>
    <row r="731" spans="2:6" ht="15.75" customHeight="1">
      <c r="B731" s="40"/>
      <c r="F731" s="53"/>
    </row>
    <row r="732" spans="2:6" ht="15.75" customHeight="1">
      <c r="B732" s="40"/>
      <c r="F732" s="53"/>
    </row>
    <row r="733" spans="2:6" ht="15.75" customHeight="1">
      <c r="B733" s="40"/>
      <c r="F733" s="53"/>
    </row>
    <row r="734" spans="2:6" ht="15.75" customHeight="1">
      <c r="B734" s="40"/>
      <c r="F734" s="53"/>
    </row>
    <row r="735" spans="2:6" ht="15.75" customHeight="1">
      <c r="B735" s="40"/>
      <c r="F735" s="53"/>
    </row>
    <row r="736" spans="2:6" ht="15.75" customHeight="1">
      <c r="B736" s="40"/>
      <c r="F736" s="53"/>
    </row>
    <row r="737" spans="2:6" ht="15.75" customHeight="1">
      <c r="B737" s="40"/>
      <c r="F737" s="53"/>
    </row>
    <row r="738" spans="2:6" ht="15.75" customHeight="1">
      <c r="B738" s="40"/>
      <c r="F738" s="53"/>
    </row>
    <row r="739" spans="2:6" ht="15.75" customHeight="1">
      <c r="B739" s="40"/>
      <c r="F739" s="53"/>
    </row>
    <row r="740" spans="2:6" ht="15.75" customHeight="1">
      <c r="B740" s="40"/>
      <c r="F740" s="53"/>
    </row>
    <row r="741" spans="2:6" ht="15.75" customHeight="1">
      <c r="B741" s="40"/>
      <c r="F741" s="53"/>
    </row>
    <row r="742" spans="2:6" ht="15.75" customHeight="1">
      <c r="B742" s="40"/>
      <c r="F742" s="53"/>
    </row>
    <row r="743" spans="2:6" ht="15.75" customHeight="1">
      <c r="B743" s="40"/>
      <c r="F743" s="53"/>
    </row>
    <row r="744" spans="2:6" ht="15.75" customHeight="1">
      <c r="B744" s="40"/>
      <c r="F744" s="53"/>
    </row>
    <row r="745" spans="2:6" ht="15.75" customHeight="1">
      <c r="B745" s="40"/>
      <c r="F745" s="53"/>
    </row>
    <row r="746" spans="2:6" ht="15.75" customHeight="1">
      <c r="B746" s="40"/>
      <c r="F746" s="53"/>
    </row>
    <row r="747" spans="2:6" ht="15.75" customHeight="1">
      <c r="B747" s="40"/>
      <c r="F747" s="53"/>
    </row>
    <row r="748" spans="2:6" ht="15.75" customHeight="1">
      <c r="B748" s="40"/>
      <c r="F748" s="53"/>
    </row>
    <row r="749" spans="2:6" ht="15.75" customHeight="1">
      <c r="B749" s="40"/>
      <c r="F749" s="53"/>
    </row>
    <row r="750" spans="2:6" ht="15.75" customHeight="1">
      <c r="B750" s="40"/>
      <c r="F750" s="53"/>
    </row>
    <row r="751" spans="2:6" ht="15.75" customHeight="1">
      <c r="B751" s="40"/>
      <c r="F751" s="53"/>
    </row>
    <row r="752" spans="2:6" ht="15.75" customHeight="1">
      <c r="B752" s="40"/>
      <c r="F752" s="53"/>
    </row>
    <row r="753" spans="2:6" ht="15.75" customHeight="1">
      <c r="B753" s="40"/>
      <c r="F753" s="53"/>
    </row>
    <row r="754" spans="2:6" ht="15.75" customHeight="1">
      <c r="B754" s="40"/>
      <c r="F754" s="53"/>
    </row>
    <row r="755" spans="2:6" ht="15.75" customHeight="1">
      <c r="B755" s="40"/>
      <c r="F755" s="53"/>
    </row>
    <row r="756" spans="2:6" ht="15.75" customHeight="1">
      <c r="B756" s="40"/>
      <c r="F756" s="53"/>
    </row>
    <row r="757" spans="2:6" ht="15.75" customHeight="1">
      <c r="B757" s="40"/>
      <c r="F757" s="53"/>
    </row>
    <row r="758" spans="2:6" ht="15.75" customHeight="1">
      <c r="B758" s="40"/>
      <c r="F758" s="53"/>
    </row>
    <row r="759" spans="2:6" ht="15.75" customHeight="1">
      <c r="B759" s="40"/>
      <c r="F759" s="53"/>
    </row>
    <row r="760" spans="2:6" ht="15.75" customHeight="1">
      <c r="B760" s="40"/>
      <c r="F760" s="53"/>
    </row>
    <row r="761" spans="2:6" ht="15.75" customHeight="1">
      <c r="B761" s="40"/>
      <c r="F761" s="53"/>
    </row>
    <row r="762" spans="2:6" ht="15.75" customHeight="1">
      <c r="B762" s="40"/>
      <c r="F762" s="53"/>
    </row>
    <row r="763" spans="2:6" ht="15.75" customHeight="1">
      <c r="B763" s="40"/>
      <c r="F763" s="53"/>
    </row>
    <row r="764" spans="2:6" ht="15.75" customHeight="1">
      <c r="B764" s="40"/>
      <c r="F764" s="53"/>
    </row>
    <row r="765" spans="2:6" ht="15.75" customHeight="1">
      <c r="B765" s="40"/>
      <c r="F765" s="53"/>
    </row>
    <row r="766" spans="2:6" ht="15.75" customHeight="1">
      <c r="B766" s="40"/>
      <c r="F766" s="53"/>
    </row>
    <row r="767" spans="2:6" ht="15.75" customHeight="1">
      <c r="B767" s="40"/>
      <c r="F767" s="53"/>
    </row>
    <row r="768" spans="2:6" ht="15.75" customHeight="1">
      <c r="B768" s="40"/>
      <c r="F768" s="53"/>
    </row>
    <row r="769" spans="2:6" ht="15.75" customHeight="1">
      <c r="B769" s="40"/>
      <c r="F769" s="53"/>
    </row>
    <row r="770" spans="2:6" ht="15.75" customHeight="1">
      <c r="B770" s="40"/>
      <c r="F770" s="53"/>
    </row>
    <row r="771" spans="2:6" ht="15.75" customHeight="1">
      <c r="B771" s="40"/>
      <c r="F771" s="53"/>
    </row>
    <row r="772" spans="2:6" ht="15.75" customHeight="1">
      <c r="B772" s="40"/>
      <c r="F772" s="53"/>
    </row>
    <row r="773" spans="2:6" ht="15.75" customHeight="1">
      <c r="B773" s="40"/>
      <c r="F773" s="53"/>
    </row>
    <row r="774" spans="2:6" ht="15.75" customHeight="1">
      <c r="B774" s="40"/>
      <c r="F774" s="53"/>
    </row>
    <row r="775" spans="2:6" ht="15.75" customHeight="1">
      <c r="B775" s="40"/>
      <c r="F775" s="53"/>
    </row>
    <row r="776" spans="2:6" ht="15.75" customHeight="1">
      <c r="B776" s="40"/>
      <c r="F776" s="53"/>
    </row>
    <row r="777" spans="2:6" ht="15.75" customHeight="1">
      <c r="B777" s="40"/>
      <c r="F777" s="53"/>
    </row>
    <row r="778" spans="2:6" ht="15.75" customHeight="1">
      <c r="B778" s="40"/>
      <c r="F778" s="53"/>
    </row>
    <row r="779" spans="2:6" ht="15.75" customHeight="1">
      <c r="B779" s="40"/>
      <c r="F779" s="53"/>
    </row>
    <row r="780" spans="2:6" ht="15.75" customHeight="1">
      <c r="B780" s="40"/>
      <c r="F780" s="53"/>
    </row>
    <row r="781" spans="2:6" ht="15.75" customHeight="1">
      <c r="B781" s="40"/>
      <c r="F781" s="53"/>
    </row>
    <row r="782" spans="2:6" ht="15.75" customHeight="1">
      <c r="B782" s="40"/>
      <c r="F782" s="53"/>
    </row>
    <row r="783" spans="2:6" ht="15.75" customHeight="1">
      <c r="B783" s="40"/>
      <c r="F783" s="53"/>
    </row>
    <row r="784" spans="2:6" ht="15.75" customHeight="1">
      <c r="B784" s="40"/>
      <c r="F784" s="53"/>
    </row>
    <row r="785" spans="2:6" ht="15.75" customHeight="1">
      <c r="B785" s="40"/>
      <c r="F785" s="53"/>
    </row>
    <row r="786" spans="2:6" ht="15.75" customHeight="1">
      <c r="B786" s="40"/>
      <c r="F786" s="53"/>
    </row>
    <row r="787" spans="2:6" ht="15.75" customHeight="1">
      <c r="B787" s="40"/>
      <c r="F787" s="53"/>
    </row>
    <row r="788" spans="2:6" ht="15.75" customHeight="1">
      <c r="B788" s="40"/>
      <c r="F788" s="53"/>
    </row>
    <row r="789" spans="2:6" ht="15.75" customHeight="1">
      <c r="B789" s="40"/>
      <c r="F789" s="53"/>
    </row>
    <row r="790" spans="2:6" ht="15.75" customHeight="1">
      <c r="B790" s="40"/>
      <c r="F790" s="53"/>
    </row>
    <row r="791" spans="2:6" ht="15.75" customHeight="1">
      <c r="B791" s="40"/>
      <c r="F791" s="53"/>
    </row>
    <row r="792" spans="2:6" ht="15.75" customHeight="1">
      <c r="B792" s="40"/>
      <c r="F792" s="53"/>
    </row>
    <row r="793" spans="2:6" ht="15.75" customHeight="1">
      <c r="B793" s="40"/>
      <c r="F793" s="53"/>
    </row>
    <row r="794" spans="2:6" ht="15.75" customHeight="1">
      <c r="B794" s="40"/>
      <c r="F794" s="53"/>
    </row>
    <row r="795" spans="2:6" ht="15.75" customHeight="1">
      <c r="B795" s="40"/>
      <c r="F795" s="53"/>
    </row>
    <row r="796" spans="2:6" ht="15.75" customHeight="1">
      <c r="B796" s="40"/>
      <c r="F796" s="53"/>
    </row>
    <row r="797" spans="2:6" ht="15.75" customHeight="1">
      <c r="B797" s="40"/>
      <c r="F797" s="53"/>
    </row>
    <row r="798" spans="2:6" ht="15.75" customHeight="1">
      <c r="B798" s="40"/>
      <c r="F798" s="53"/>
    </row>
    <row r="799" spans="2:6" ht="15.75" customHeight="1">
      <c r="B799" s="40"/>
      <c r="F799" s="53"/>
    </row>
    <row r="800" spans="2:6" ht="15.75" customHeight="1">
      <c r="B800" s="40"/>
      <c r="F800" s="53"/>
    </row>
    <row r="801" spans="2:6" ht="15.75" customHeight="1">
      <c r="B801" s="40"/>
      <c r="F801" s="53"/>
    </row>
    <row r="802" spans="2:6" ht="15.75" customHeight="1">
      <c r="B802" s="40"/>
      <c r="F802" s="53"/>
    </row>
    <row r="803" spans="2:6" ht="15.75" customHeight="1">
      <c r="B803" s="40"/>
      <c r="F803" s="53"/>
    </row>
    <row r="804" spans="2:6" ht="15.75" customHeight="1">
      <c r="B804" s="40"/>
      <c r="F804" s="53"/>
    </row>
    <row r="805" spans="2:6" ht="15.75" customHeight="1">
      <c r="B805" s="40"/>
      <c r="F805" s="53"/>
    </row>
    <row r="806" spans="2:6" ht="15.75" customHeight="1">
      <c r="B806" s="40"/>
      <c r="F806" s="53"/>
    </row>
    <row r="807" spans="2:6" ht="15.75" customHeight="1">
      <c r="B807" s="40"/>
      <c r="F807" s="53"/>
    </row>
    <row r="808" spans="2:6" ht="15.75" customHeight="1">
      <c r="B808" s="40"/>
      <c r="F808" s="53"/>
    </row>
    <row r="809" spans="2:6" ht="15.75" customHeight="1">
      <c r="B809" s="40"/>
      <c r="F809" s="53"/>
    </row>
    <row r="810" spans="2:6" ht="15.75" customHeight="1">
      <c r="B810" s="40"/>
      <c r="F810" s="53"/>
    </row>
    <row r="811" spans="2:6" ht="15.75" customHeight="1">
      <c r="B811" s="40"/>
      <c r="F811" s="53"/>
    </row>
    <row r="812" spans="2:6" ht="15.75" customHeight="1">
      <c r="B812" s="40"/>
      <c r="F812" s="53"/>
    </row>
    <row r="813" spans="2:6" ht="15.75" customHeight="1">
      <c r="B813" s="40"/>
      <c r="F813" s="53"/>
    </row>
    <row r="814" spans="2:6" ht="15.75" customHeight="1">
      <c r="B814" s="40"/>
      <c r="F814" s="53"/>
    </row>
    <row r="815" spans="2:6" ht="15.75" customHeight="1">
      <c r="B815" s="40"/>
      <c r="F815" s="53"/>
    </row>
    <row r="816" spans="2:6" ht="15.75" customHeight="1">
      <c r="B816" s="40"/>
      <c r="F816" s="53"/>
    </row>
    <row r="817" spans="2:6" ht="15.75" customHeight="1">
      <c r="B817" s="40"/>
      <c r="F817" s="53"/>
    </row>
    <row r="818" spans="2:6" ht="15.75" customHeight="1">
      <c r="B818" s="40"/>
      <c r="F818" s="53"/>
    </row>
    <row r="819" spans="2:6" ht="15.75" customHeight="1">
      <c r="B819" s="40"/>
      <c r="F819" s="53"/>
    </row>
    <row r="820" spans="2:6" ht="15.75" customHeight="1">
      <c r="B820" s="40"/>
      <c r="F820" s="53"/>
    </row>
    <row r="821" spans="2:6" ht="15.75" customHeight="1">
      <c r="B821" s="40"/>
      <c r="F821" s="53"/>
    </row>
    <row r="822" spans="2:6" ht="15.75" customHeight="1">
      <c r="B822" s="40"/>
      <c r="F822" s="53"/>
    </row>
    <row r="823" spans="2:6" ht="15.75" customHeight="1">
      <c r="B823" s="40"/>
      <c r="F823" s="53"/>
    </row>
    <row r="824" spans="2:6" ht="15.75" customHeight="1">
      <c r="B824" s="40"/>
      <c r="F824" s="53"/>
    </row>
    <row r="825" spans="2:6" ht="15.75" customHeight="1">
      <c r="B825" s="40"/>
      <c r="F825" s="53"/>
    </row>
    <row r="826" spans="2:6" ht="15.75" customHeight="1">
      <c r="B826" s="40"/>
      <c r="F826" s="53"/>
    </row>
    <row r="827" spans="2:6" ht="15.75" customHeight="1">
      <c r="B827" s="40"/>
      <c r="F827" s="53"/>
    </row>
    <row r="828" spans="2:6" ht="15.75" customHeight="1">
      <c r="B828" s="40"/>
      <c r="F828" s="53"/>
    </row>
    <row r="829" spans="2:6" ht="15.75" customHeight="1">
      <c r="B829" s="40"/>
      <c r="F829" s="53"/>
    </row>
    <row r="830" spans="2:6" ht="15.75" customHeight="1">
      <c r="B830" s="40"/>
      <c r="F830" s="53"/>
    </row>
    <row r="831" spans="2:6" ht="15.75" customHeight="1">
      <c r="B831" s="40"/>
      <c r="F831" s="53"/>
    </row>
    <row r="832" spans="2:6" ht="15.75" customHeight="1">
      <c r="B832" s="40"/>
      <c r="F832" s="53"/>
    </row>
    <row r="833" spans="2:6" ht="15.75" customHeight="1">
      <c r="B833" s="40"/>
      <c r="F833" s="53"/>
    </row>
    <row r="834" spans="2:6" ht="15.75" customHeight="1">
      <c r="B834" s="40"/>
      <c r="F834" s="53"/>
    </row>
    <row r="835" spans="2:6" ht="15.75" customHeight="1">
      <c r="B835" s="40"/>
      <c r="F835" s="53"/>
    </row>
    <row r="836" spans="2:6" ht="15.75" customHeight="1">
      <c r="B836" s="40"/>
      <c r="F836" s="53"/>
    </row>
    <row r="837" spans="2:6" ht="15.75" customHeight="1">
      <c r="B837" s="40"/>
      <c r="F837" s="53"/>
    </row>
    <row r="838" spans="2:6" ht="15.75" customHeight="1">
      <c r="B838" s="40"/>
      <c r="F838" s="53"/>
    </row>
    <row r="839" spans="2:6" ht="15.75" customHeight="1">
      <c r="B839" s="40"/>
      <c r="F839" s="53"/>
    </row>
    <row r="840" spans="2:6" ht="15.75" customHeight="1">
      <c r="B840" s="40"/>
      <c r="F840" s="53"/>
    </row>
    <row r="841" spans="2:6" ht="15.75" customHeight="1">
      <c r="B841" s="40"/>
      <c r="F841" s="53"/>
    </row>
    <row r="842" spans="2:6" ht="15.75" customHeight="1">
      <c r="B842" s="40"/>
      <c r="F842" s="53"/>
    </row>
    <row r="843" spans="2:6" ht="15.75" customHeight="1">
      <c r="B843" s="40"/>
      <c r="F843" s="53"/>
    </row>
    <row r="844" spans="2:6" ht="15.75" customHeight="1">
      <c r="B844" s="40"/>
      <c r="F844" s="53"/>
    </row>
    <row r="845" spans="2:6" ht="15.75" customHeight="1">
      <c r="B845" s="40"/>
      <c r="F845" s="53"/>
    </row>
    <row r="846" spans="2:6" ht="15.75" customHeight="1">
      <c r="B846" s="40"/>
      <c r="F846" s="53"/>
    </row>
    <row r="847" spans="2:6" ht="15.75" customHeight="1">
      <c r="B847" s="40"/>
      <c r="F847" s="53"/>
    </row>
    <row r="848" spans="2:6" ht="15.75" customHeight="1">
      <c r="B848" s="40"/>
      <c r="F848" s="53"/>
    </row>
    <row r="849" spans="2:6" ht="15.75" customHeight="1">
      <c r="B849" s="40"/>
      <c r="F849" s="53"/>
    </row>
    <row r="850" spans="2:6" ht="15.75" customHeight="1">
      <c r="B850" s="40"/>
      <c r="F850" s="53"/>
    </row>
    <row r="851" spans="2:6" ht="15.75" customHeight="1">
      <c r="B851" s="40"/>
      <c r="F851" s="53"/>
    </row>
    <row r="852" spans="2:6" ht="15.75" customHeight="1">
      <c r="B852" s="40"/>
      <c r="F852" s="53"/>
    </row>
    <row r="853" spans="2:6" ht="15.75" customHeight="1">
      <c r="B853" s="40"/>
      <c r="F853" s="53"/>
    </row>
    <row r="854" spans="2:6" ht="15.75" customHeight="1">
      <c r="B854" s="40"/>
      <c r="F854" s="53"/>
    </row>
    <row r="855" spans="2:6" ht="15.75" customHeight="1">
      <c r="B855" s="40"/>
      <c r="F855" s="53"/>
    </row>
    <row r="856" spans="2:6" ht="15.75" customHeight="1">
      <c r="B856" s="40"/>
      <c r="F856" s="53"/>
    </row>
    <row r="857" spans="2:6" ht="15.75" customHeight="1">
      <c r="B857" s="40"/>
      <c r="F857" s="53"/>
    </row>
    <row r="858" spans="2:6" ht="15.75" customHeight="1">
      <c r="B858" s="40"/>
      <c r="F858" s="53"/>
    </row>
    <row r="859" spans="2:6" ht="15.75" customHeight="1">
      <c r="B859" s="40"/>
      <c r="F859" s="53"/>
    </row>
    <row r="860" spans="2:6" ht="15.75" customHeight="1">
      <c r="B860" s="40"/>
      <c r="F860" s="53"/>
    </row>
    <row r="861" spans="2:6" ht="15.75" customHeight="1">
      <c r="B861" s="40"/>
      <c r="F861" s="53"/>
    </row>
    <row r="862" spans="2:6" ht="15.75" customHeight="1">
      <c r="B862" s="40"/>
      <c r="F862" s="53"/>
    </row>
    <row r="863" spans="2:6" ht="15.75" customHeight="1">
      <c r="B863" s="40"/>
      <c r="F863" s="53"/>
    </row>
    <row r="864" spans="2:6" ht="15.75" customHeight="1">
      <c r="B864" s="40"/>
      <c r="F864" s="53"/>
    </row>
    <row r="865" spans="2:6" ht="15.75" customHeight="1">
      <c r="B865" s="40"/>
      <c r="F865" s="53"/>
    </row>
    <row r="866" spans="2:6" ht="15.75" customHeight="1">
      <c r="B866" s="40"/>
      <c r="F866" s="53"/>
    </row>
    <row r="867" spans="2:6" ht="15.75" customHeight="1">
      <c r="B867" s="40"/>
      <c r="F867" s="53"/>
    </row>
    <row r="868" spans="2:6" ht="15.75" customHeight="1">
      <c r="B868" s="40"/>
      <c r="F868" s="53"/>
    </row>
    <row r="869" spans="2:6" ht="15.75" customHeight="1">
      <c r="B869" s="40"/>
      <c r="F869" s="53"/>
    </row>
    <row r="870" spans="2:6" ht="15.75" customHeight="1">
      <c r="B870" s="40"/>
      <c r="F870" s="53"/>
    </row>
    <row r="871" spans="2:6" ht="15.75" customHeight="1">
      <c r="B871" s="40"/>
      <c r="F871" s="53"/>
    </row>
    <row r="872" spans="2:6" ht="15.75" customHeight="1">
      <c r="B872" s="40"/>
      <c r="F872" s="53"/>
    </row>
    <row r="873" spans="2:6" ht="15.75" customHeight="1">
      <c r="B873" s="40"/>
      <c r="F873" s="53"/>
    </row>
    <row r="874" spans="2:6" ht="15.75" customHeight="1">
      <c r="B874" s="40"/>
      <c r="F874" s="53"/>
    </row>
    <row r="875" spans="2:6" ht="15.75" customHeight="1">
      <c r="B875" s="40"/>
      <c r="F875" s="53"/>
    </row>
    <row r="876" spans="2:6" ht="15.75" customHeight="1">
      <c r="B876" s="40"/>
      <c r="F876" s="53"/>
    </row>
    <row r="877" spans="2:6" ht="15.75" customHeight="1">
      <c r="B877" s="40"/>
      <c r="F877" s="53"/>
    </row>
    <row r="878" spans="2:6" ht="15.75" customHeight="1">
      <c r="B878" s="40"/>
      <c r="F878" s="53"/>
    </row>
    <row r="879" spans="2:6" ht="15.75" customHeight="1">
      <c r="B879" s="40"/>
      <c r="F879" s="53"/>
    </row>
    <row r="880" spans="2:6" ht="15.75" customHeight="1">
      <c r="B880" s="40"/>
      <c r="F880" s="53"/>
    </row>
    <row r="881" spans="2:6" ht="15.75" customHeight="1">
      <c r="B881" s="40"/>
      <c r="F881" s="53"/>
    </row>
    <row r="882" spans="2:6" ht="15.75" customHeight="1">
      <c r="B882" s="40"/>
      <c r="F882" s="53"/>
    </row>
    <row r="883" spans="2:6" ht="15.75" customHeight="1">
      <c r="B883" s="40"/>
      <c r="F883" s="53"/>
    </row>
    <row r="884" spans="2:6" ht="15.75" customHeight="1">
      <c r="B884" s="40"/>
      <c r="F884" s="53"/>
    </row>
    <row r="885" spans="2:6" ht="15.75" customHeight="1">
      <c r="B885" s="40"/>
      <c r="F885" s="53"/>
    </row>
    <row r="886" spans="2:6" ht="15.75" customHeight="1">
      <c r="B886" s="40"/>
      <c r="F886" s="53"/>
    </row>
    <row r="887" spans="2:6" ht="15.75" customHeight="1">
      <c r="B887" s="40"/>
      <c r="F887" s="53"/>
    </row>
    <row r="888" spans="2:6" ht="15.75" customHeight="1">
      <c r="B888" s="40"/>
      <c r="F888" s="53"/>
    </row>
    <row r="889" spans="2:6" ht="15.75" customHeight="1">
      <c r="B889" s="40"/>
      <c r="F889" s="53"/>
    </row>
    <row r="890" spans="2:6" ht="15.75" customHeight="1">
      <c r="B890" s="40"/>
      <c r="F890" s="53"/>
    </row>
    <row r="891" spans="2:6" ht="15.75" customHeight="1">
      <c r="B891" s="40"/>
      <c r="F891" s="53"/>
    </row>
    <row r="892" spans="2:6" ht="15.75" customHeight="1">
      <c r="B892" s="40"/>
      <c r="F892" s="53"/>
    </row>
    <row r="893" spans="2:6" ht="15.75" customHeight="1">
      <c r="B893" s="40"/>
      <c r="F893" s="53"/>
    </row>
    <row r="894" spans="2:6" ht="15.75" customHeight="1">
      <c r="B894" s="40"/>
      <c r="F894" s="53"/>
    </row>
    <row r="895" spans="2:6" ht="15.75" customHeight="1">
      <c r="B895" s="40"/>
      <c r="F895" s="53"/>
    </row>
    <row r="896" spans="2:6" ht="15.75" customHeight="1">
      <c r="B896" s="40"/>
      <c r="F896" s="53"/>
    </row>
    <row r="897" spans="2:6" ht="15.75" customHeight="1">
      <c r="B897" s="40"/>
      <c r="F897" s="53"/>
    </row>
    <row r="898" spans="2:6" ht="15.75" customHeight="1">
      <c r="B898" s="40"/>
      <c r="F898" s="53"/>
    </row>
    <row r="899" spans="2:6" ht="15.75" customHeight="1">
      <c r="B899" s="40"/>
      <c r="F899" s="53"/>
    </row>
    <row r="900" spans="2:6" ht="15.75" customHeight="1">
      <c r="B900" s="40"/>
      <c r="F900" s="53"/>
    </row>
    <row r="901" spans="2:6" ht="15.75" customHeight="1">
      <c r="B901" s="40"/>
      <c r="F901" s="53"/>
    </row>
    <row r="902" spans="2:6" ht="15.75" customHeight="1">
      <c r="B902" s="40"/>
      <c r="F902" s="53"/>
    </row>
    <row r="903" spans="2:6" ht="15.75" customHeight="1">
      <c r="B903" s="40"/>
      <c r="F903" s="53"/>
    </row>
    <row r="904" spans="2:6" ht="15.75" customHeight="1">
      <c r="B904" s="40"/>
      <c r="F904" s="53"/>
    </row>
    <row r="905" spans="2:6" ht="15.75" customHeight="1">
      <c r="B905" s="40"/>
      <c r="F905" s="53"/>
    </row>
    <row r="906" spans="2:6" ht="15.75" customHeight="1">
      <c r="B906" s="40"/>
      <c r="F906" s="53"/>
    </row>
    <row r="907" spans="2:6" ht="15.75" customHeight="1">
      <c r="B907" s="40"/>
      <c r="F907" s="53"/>
    </row>
    <row r="908" spans="2:6" ht="15.75" customHeight="1">
      <c r="B908" s="40"/>
      <c r="F908" s="53"/>
    </row>
    <row r="909" spans="2:6" ht="15.75" customHeight="1">
      <c r="B909" s="40"/>
      <c r="F909" s="53"/>
    </row>
    <row r="910" spans="2:6" ht="15.75" customHeight="1">
      <c r="B910" s="40"/>
      <c r="F910" s="53"/>
    </row>
    <row r="911" spans="2:6" ht="15.75" customHeight="1">
      <c r="B911" s="40"/>
      <c r="F911" s="53"/>
    </row>
    <row r="912" spans="2:6" ht="15.75" customHeight="1">
      <c r="B912" s="40"/>
      <c r="F912" s="53"/>
    </row>
    <row r="913" spans="2:6" ht="15.75" customHeight="1">
      <c r="B913" s="40"/>
      <c r="F913" s="53"/>
    </row>
    <row r="914" spans="2:6" ht="15.75" customHeight="1">
      <c r="B914" s="40"/>
      <c r="F914" s="53"/>
    </row>
    <row r="915" spans="2:6" ht="15.75" customHeight="1">
      <c r="B915" s="40"/>
      <c r="F915" s="53"/>
    </row>
    <row r="916" spans="2:6" ht="15.75" customHeight="1">
      <c r="B916" s="40"/>
      <c r="F916" s="53"/>
    </row>
    <row r="917" spans="2:6" ht="15.75" customHeight="1">
      <c r="B917" s="40"/>
      <c r="F917" s="53"/>
    </row>
    <row r="918" spans="2:6" ht="15.75" customHeight="1">
      <c r="B918" s="40"/>
      <c r="F918" s="53"/>
    </row>
    <row r="919" spans="2:6" ht="15.75" customHeight="1">
      <c r="B919" s="40"/>
      <c r="F919" s="53"/>
    </row>
    <row r="920" spans="2:6" ht="15.75" customHeight="1">
      <c r="B920" s="40"/>
      <c r="F920" s="53"/>
    </row>
    <row r="921" spans="2:6" ht="15.75" customHeight="1">
      <c r="B921" s="40"/>
      <c r="F921" s="53"/>
    </row>
    <row r="922" spans="2:6" ht="15.75" customHeight="1">
      <c r="B922" s="40"/>
      <c r="F922" s="53"/>
    </row>
    <row r="923" spans="2:6" ht="15.75" customHeight="1">
      <c r="B923" s="40"/>
      <c r="F923" s="53"/>
    </row>
    <row r="924" spans="2:6" ht="15.75" customHeight="1">
      <c r="B924" s="40"/>
      <c r="F924" s="53"/>
    </row>
    <row r="925" spans="2:6" ht="15.75" customHeight="1">
      <c r="B925" s="40"/>
      <c r="F925" s="53"/>
    </row>
    <row r="926" spans="2:6" ht="15.75" customHeight="1">
      <c r="B926" s="40"/>
      <c r="F926" s="53"/>
    </row>
    <row r="927" spans="2:6" ht="15.75" customHeight="1">
      <c r="B927" s="40"/>
      <c r="F927" s="53"/>
    </row>
    <row r="928" spans="2:6" ht="15.75" customHeight="1">
      <c r="B928" s="40"/>
      <c r="F928" s="53"/>
    </row>
    <row r="929" spans="2:6" ht="15.75" customHeight="1">
      <c r="B929" s="40"/>
      <c r="F929" s="53"/>
    </row>
    <row r="930" spans="2:6" ht="15.75" customHeight="1">
      <c r="B930" s="40"/>
      <c r="F930" s="53"/>
    </row>
    <row r="931" spans="2:6" ht="15.75" customHeight="1">
      <c r="B931" s="40"/>
      <c r="F931" s="53"/>
    </row>
    <row r="932" spans="2:6" ht="15.75" customHeight="1">
      <c r="B932" s="40"/>
      <c r="F932" s="53"/>
    </row>
    <row r="933" spans="2:6" ht="15.75" customHeight="1">
      <c r="B933" s="40"/>
      <c r="F933" s="53"/>
    </row>
    <row r="934" spans="2:6" ht="15.75" customHeight="1">
      <c r="B934" s="40"/>
      <c r="F934" s="53"/>
    </row>
    <row r="935" spans="2:6" ht="15.75" customHeight="1">
      <c r="B935" s="40"/>
      <c r="F935" s="53"/>
    </row>
    <row r="936" spans="2:6" ht="15.75" customHeight="1">
      <c r="B936" s="40"/>
      <c r="F936" s="53"/>
    </row>
    <row r="937" spans="2:6" ht="15.75" customHeight="1">
      <c r="B937" s="40"/>
      <c r="F937" s="53"/>
    </row>
    <row r="938" spans="2:6" ht="15.75" customHeight="1">
      <c r="B938" s="40"/>
      <c r="F938" s="53"/>
    </row>
    <row r="939" spans="2:6" ht="15.75" customHeight="1">
      <c r="B939" s="40"/>
      <c r="F939" s="53"/>
    </row>
    <row r="940" spans="2:6" ht="15.75" customHeight="1">
      <c r="B940" s="40"/>
      <c r="F940" s="53"/>
    </row>
    <row r="941" spans="2:6" ht="15.75" customHeight="1">
      <c r="B941" s="40"/>
      <c r="F941" s="53"/>
    </row>
    <row r="942" spans="2:6" ht="15.75" customHeight="1">
      <c r="B942" s="40"/>
      <c r="F942" s="53"/>
    </row>
    <row r="943" spans="2:6" ht="15.75" customHeight="1">
      <c r="B943" s="40"/>
      <c r="F943" s="53"/>
    </row>
    <row r="944" spans="2:6" ht="15.75" customHeight="1">
      <c r="B944" s="40"/>
      <c r="F944" s="53"/>
    </row>
    <row r="945" spans="2:6" ht="15.75" customHeight="1">
      <c r="B945" s="40"/>
      <c r="F945" s="53"/>
    </row>
    <row r="946" spans="2:6" ht="15.75" customHeight="1">
      <c r="B946" s="40"/>
      <c r="F946" s="53"/>
    </row>
    <row r="947" spans="2:6" ht="15.75" customHeight="1">
      <c r="B947" s="40"/>
      <c r="F947" s="53"/>
    </row>
    <row r="948" spans="2:6" ht="15.75" customHeight="1">
      <c r="B948" s="40"/>
      <c r="F948" s="53"/>
    </row>
    <row r="949" spans="2:6" ht="15.75" customHeight="1">
      <c r="B949" s="40"/>
      <c r="F949" s="53"/>
    </row>
    <row r="950" spans="2:6" ht="15.75" customHeight="1">
      <c r="B950" s="40"/>
      <c r="F950" s="53"/>
    </row>
    <row r="951" spans="2:6" ht="15.75" customHeight="1">
      <c r="B951" s="40"/>
      <c r="F951" s="53"/>
    </row>
    <row r="952" spans="2:6" ht="15.75" customHeight="1">
      <c r="B952" s="40"/>
      <c r="F952" s="53"/>
    </row>
    <row r="953" spans="2:6" ht="15.75" customHeight="1">
      <c r="B953" s="40"/>
      <c r="F953" s="53"/>
    </row>
    <row r="954" spans="2:6" ht="15.75" customHeight="1">
      <c r="B954" s="40"/>
      <c r="F954" s="53"/>
    </row>
    <row r="955" spans="2:6" ht="15.75" customHeight="1">
      <c r="B955" s="40"/>
      <c r="F955" s="53"/>
    </row>
    <row r="956" spans="2:6" ht="15.75" customHeight="1">
      <c r="B956" s="40"/>
      <c r="F956" s="53"/>
    </row>
    <row r="957" spans="2:6" ht="15.75" customHeight="1">
      <c r="B957" s="40"/>
      <c r="F957" s="53"/>
    </row>
    <row r="958" spans="2:6" ht="15.75" customHeight="1">
      <c r="B958" s="40"/>
      <c r="F958" s="53"/>
    </row>
    <row r="959" spans="2:6" ht="15.75" customHeight="1">
      <c r="B959" s="40"/>
      <c r="F959" s="53"/>
    </row>
    <row r="960" spans="2:6" ht="15.75" customHeight="1">
      <c r="B960" s="40"/>
      <c r="F960" s="53"/>
    </row>
    <row r="961" spans="2:6" ht="15.75" customHeight="1">
      <c r="B961" s="40"/>
      <c r="F961" s="53"/>
    </row>
    <row r="962" spans="2:6" ht="15.75" customHeight="1">
      <c r="B962" s="40"/>
      <c r="F962" s="53"/>
    </row>
    <row r="963" spans="2:6" ht="15.75" customHeight="1">
      <c r="B963" s="40"/>
      <c r="F963" s="53"/>
    </row>
    <row r="964" spans="2:6" ht="15.75" customHeight="1">
      <c r="B964" s="40"/>
      <c r="F964" s="53"/>
    </row>
    <row r="965" spans="2:6" ht="15.75" customHeight="1">
      <c r="B965" s="40"/>
      <c r="F965" s="53"/>
    </row>
    <row r="966" spans="2:6" ht="15.75" customHeight="1">
      <c r="B966" s="40"/>
      <c r="F966" s="53"/>
    </row>
    <row r="967" spans="2:6" ht="15.75" customHeight="1">
      <c r="B967" s="40"/>
      <c r="F967" s="53"/>
    </row>
    <row r="968" spans="2:6" ht="15.75" customHeight="1">
      <c r="B968" s="40"/>
      <c r="F968" s="53"/>
    </row>
    <row r="969" spans="2:6" ht="15.75" customHeight="1">
      <c r="B969" s="40"/>
      <c r="F969" s="53"/>
    </row>
    <row r="970" spans="2:6" ht="15.75" customHeight="1">
      <c r="B970" s="40"/>
      <c r="F970" s="53"/>
    </row>
    <row r="971" spans="2:6" ht="15.75" customHeight="1">
      <c r="B971" s="40"/>
      <c r="F971" s="53"/>
    </row>
    <row r="972" spans="2:6" ht="15.75" customHeight="1">
      <c r="B972" s="40"/>
      <c r="F972" s="53"/>
    </row>
    <row r="973" spans="2:6" ht="15.75" customHeight="1">
      <c r="B973" s="40"/>
      <c r="F973" s="53"/>
    </row>
    <row r="974" spans="2:6" ht="15.75" customHeight="1">
      <c r="B974" s="40"/>
      <c r="F974" s="53"/>
    </row>
    <row r="975" spans="2:6" ht="15.75" customHeight="1">
      <c r="B975" s="40"/>
      <c r="F975" s="53"/>
    </row>
    <row r="976" spans="2:6" ht="15.75" customHeight="1">
      <c r="B976" s="40"/>
      <c r="F976" s="53"/>
    </row>
    <row r="977" spans="2:6" ht="15.75" customHeight="1">
      <c r="B977" s="40"/>
      <c r="F977" s="53"/>
    </row>
    <row r="978" spans="2:6" ht="15.75" customHeight="1">
      <c r="B978" s="40"/>
      <c r="F978" s="53"/>
    </row>
    <row r="979" spans="2:6" ht="15.75" customHeight="1">
      <c r="B979" s="40"/>
      <c r="F979" s="53"/>
    </row>
    <row r="980" spans="2:6" ht="15.75" customHeight="1">
      <c r="B980" s="40"/>
      <c r="F980" s="53"/>
    </row>
    <row r="981" spans="2:6" ht="15.75" customHeight="1">
      <c r="B981" s="40"/>
      <c r="F981" s="53"/>
    </row>
    <row r="982" spans="2:6" ht="15.75" customHeight="1">
      <c r="B982" s="40"/>
      <c r="F982" s="53"/>
    </row>
    <row r="983" spans="2:6" ht="15.75" customHeight="1">
      <c r="B983" s="40"/>
      <c r="F983" s="53"/>
    </row>
    <row r="984" spans="2:6" ht="15.75" customHeight="1">
      <c r="B984" s="40"/>
      <c r="F984" s="53"/>
    </row>
    <row r="985" spans="2:6" ht="15.75" customHeight="1">
      <c r="B985" s="40"/>
      <c r="F985" s="53"/>
    </row>
    <row r="986" spans="2:6" ht="15.75" customHeight="1">
      <c r="B986" s="40"/>
      <c r="F986" s="53"/>
    </row>
    <row r="987" spans="2:6" ht="15.75" customHeight="1">
      <c r="B987" s="40"/>
      <c r="F987" s="53"/>
    </row>
    <row r="988" spans="2:6" ht="15.75" customHeight="1">
      <c r="B988" s="40"/>
      <c r="F988" s="53"/>
    </row>
    <row r="989" spans="2:6" ht="15.75" customHeight="1">
      <c r="B989" s="40"/>
      <c r="F989" s="53"/>
    </row>
    <row r="990" spans="2:6" ht="15.75" customHeight="1">
      <c r="B990" s="40"/>
      <c r="F990" s="53"/>
    </row>
    <row r="991" spans="2:6" ht="15.75" customHeight="1">
      <c r="B991" s="40"/>
      <c r="F991" s="53"/>
    </row>
    <row r="992" spans="2:6" ht="15.75" customHeight="1">
      <c r="B992" s="40"/>
      <c r="F992" s="53"/>
    </row>
    <row r="993" spans="2:6" ht="15.75" customHeight="1">
      <c r="B993" s="40"/>
      <c r="F993" s="53"/>
    </row>
    <row r="994" spans="2:6" ht="15.75" customHeight="1">
      <c r="B994" s="40"/>
      <c r="F994" s="53"/>
    </row>
    <row r="995" spans="2:6" ht="15.75" customHeight="1">
      <c r="B995" s="40"/>
      <c r="F995" s="53"/>
    </row>
    <row r="996" spans="2:6" ht="15.75" customHeight="1">
      <c r="B996" s="40"/>
      <c r="F996" s="53"/>
    </row>
    <row r="997" spans="2:6" ht="15.75" customHeight="1">
      <c r="B997" s="40"/>
      <c r="F997" s="53"/>
    </row>
    <row r="998" spans="2:6" ht="15.75" customHeight="1">
      <c r="B998" s="40"/>
      <c r="F998" s="53"/>
    </row>
    <row r="999" spans="2:6" ht="15.75" customHeight="1">
      <c r="B999" s="40"/>
      <c r="F999" s="53"/>
    </row>
    <row r="1000" spans="2:6" ht="15.75" customHeight="1">
      <c r="B1000" s="40"/>
      <c r="F1000" s="53"/>
    </row>
  </sheetData>
  <mergeCells count="1">
    <mergeCell ref="A1:D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9" sqref="B9"/>
    </sheetView>
  </sheetViews>
  <sheetFormatPr defaultColWidth="14.42578125" defaultRowHeight="15" customHeight="1"/>
  <cols>
    <col min="1" max="1" width="32.28515625" customWidth="1"/>
    <col min="2" max="2" width="20.5703125" customWidth="1"/>
    <col min="3" max="26" width="9.28515625" customWidth="1"/>
  </cols>
  <sheetData>
    <row r="1" spans="1:26">
      <c r="A1" s="77" t="s">
        <v>62</v>
      </c>
      <c r="B1" s="64"/>
      <c r="C1" s="64"/>
      <c r="D1" s="64"/>
      <c r="E1" s="64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>
      <c r="A3" s="41" t="s">
        <v>39</v>
      </c>
      <c r="B3" s="42">
        <f>'7 TONNE TRUCKS'!B3</f>
        <v>3586.8768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>
      <c r="A4" s="41" t="s">
        <v>41</v>
      </c>
      <c r="B4" s="51">
        <v>2004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>
      <c r="A5" s="41" t="s">
        <v>43</v>
      </c>
      <c r="B5" s="42">
        <v>28063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>
      <c r="A6" s="41" t="s">
        <v>45</v>
      </c>
      <c r="B6" s="51">
        <f>+B5*B3</f>
        <v>100658523.6384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>
      <c r="A7" s="41"/>
      <c r="B7" s="51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>
      <c r="A8" s="41" t="s">
        <v>48</v>
      </c>
      <c r="B8" s="51">
        <f>0%*B6</f>
        <v>0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>
      <c r="A9" s="41" t="s">
        <v>49</v>
      </c>
      <c r="B9" s="51">
        <f>(B8+B6)*18%</f>
        <v>18118534.254912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>
      <c r="A10" s="41" t="s">
        <v>50</v>
      </c>
      <c r="B10" s="51">
        <f>6%*B6</f>
        <v>6039511.418304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>
      <c r="A11" s="41" t="s">
        <v>57</v>
      </c>
      <c r="B11" s="62">
        <f>20%*B6</f>
        <v>20131704.727680001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>
      <c r="A12" s="41" t="s">
        <v>58</v>
      </c>
      <c r="B12" s="51">
        <v>1250000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>
      <c r="A13" s="41" t="s">
        <v>59</v>
      </c>
      <c r="B13" s="51">
        <v>18000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>
      <c r="A14" s="41" t="s">
        <v>60</v>
      </c>
      <c r="B14" s="51">
        <v>35000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>
      <c r="A15" s="41" t="s">
        <v>61</v>
      </c>
      <c r="B15" s="51">
        <f>0%*B6</f>
        <v>0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>
      <c r="A16" s="41" t="s">
        <v>56</v>
      </c>
      <c r="B16" s="54">
        <f>SUM(B8:B15)</f>
        <v>45592750.400895998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5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5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5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5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1">
    <mergeCell ref="A1:E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Quotation </vt:lpstr>
      <vt:lpstr>with surcharge</vt:lpstr>
      <vt:lpstr>without Surcharge</vt:lpstr>
      <vt:lpstr>Trucks &amp; Cabins</vt:lpstr>
      <vt:lpstr>7 TONNE TRUCKS</vt:lpstr>
      <vt:lpstr>TRACTOR HEADS AND 20&gt;</vt:lpstr>
      <vt:lpstr>'Quotation '!Print_Area</vt:lpstr>
      <vt:lpstr>'without Surcharge'!Print_Area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NSB MOTORS UG</dc:creator>
  <cp:lastModifiedBy>NSB</cp:lastModifiedBy>
  <cp:lastPrinted>2025-02-14T00:11:34Z</cp:lastPrinted>
  <dcterms:created xsi:type="dcterms:W3CDTF">2024-04-12T05:52:22Z</dcterms:created>
  <dcterms:modified xsi:type="dcterms:W3CDTF">2025-09-11T11:27:14Z</dcterms:modified>
</cp:coreProperties>
</file>